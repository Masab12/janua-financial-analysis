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0730EB3F-75F1-03CD-C966-41DC9FD4AD36}"/>
  <workbookPr codeName="EsteLivro"/>
  <mc:AlternateContent xmlns:mc="http://schemas.openxmlformats.org/markup-compatibility/2006">
    <mc:Choice Requires="x15">
      <x15ac:absPath xmlns:x15ac="http://schemas.microsoft.com/office/spreadsheetml/2010/11/ac" url="https://d.docs.live.net/b48819e83a491acf/Janua/7 JANUA MARKETING/73 - JANUA/733 janua.pt/73 HVCO/73 A razão para a tua empresa precisar de comprar património imobiliário/"/>
    </mc:Choice>
  </mc:AlternateContent>
  <xr:revisionPtr revIDLastSave="93" documentId="13_ncr:1_{B03CA0E7-0C8A-4679-A831-8CE4D048BD4F}" xr6:coauthVersionLast="47" xr6:coauthVersionMax="47" xr10:uidLastSave="{0A12C73E-842D-4734-A5D6-D072058657CB}"/>
  <bookViews>
    <workbookView xWindow="-108" yWindow="-108" windowWidth="23256" windowHeight="12576" firstSheet="1" activeTab="1" xr2:uid="{00000000-000D-0000-FFFF-FFFF00000000}"/>
  </bookViews>
  <sheets>
    <sheet name="Introdução" sheetId="6" r:id="rId1"/>
    <sheet name="Balanço" sheetId="1" r:id="rId2"/>
    <sheet name="Demonstração de Resultados" sheetId="5" r:id="rId3"/>
    <sheet name="Performance" sheetId="4" r:id="rId4"/>
    <sheet name="Investimento Imobiliário" sheetId="7" r:id="rId5"/>
    <sheet name="Relatório" sheetId="8" r:id="rId6"/>
  </sheets>
  <definedNames>
    <definedName name="_xleta.AND" hidden="1" xlm="1">#NAME?</definedName>
    <definedName name="_xleta.IF" hidden="1" xlm="1">#NAME?</definedName>
    <definedName name="_xleta.NOT" hidden="1" xlm="1">#NAME?</definedName>
    <definedName name="_xleta.OR" hidden="1" xlm="1">#NAME?</definedName>
    <definedName name="_xleta.SEARCH" hidden="1" xlm="1">#NAME?</definedName>
    <definedName name="_xlnm.Print_Area" localSheetId="5">Relatório!$B$1:$AD$50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7" l="1"/>
  <c r="C14" i="7"/>
  <c r="H68" i="7"/>
  <c r="D13" i="7"/>
  <c r="M10" i="7"/>
  <c r="J70" i="7"/>
  <c r="I57" i="7" l="1"/>
  <c r="I58" i="7" s="1"/>
  <c r="L33" i="1"/>
  <c r="J33" i="1"/>
  <c r="L21" i="1"/>
  <c r="J21" i="1"/>
  <c r="L9" i="1"/>
  <c r="J9" i="1"/>
  <c r="J24" i="1"/>
  <c r="C11" i="8"/>
  <c r="C27" i="8"/>
  <c r="C29" i="8"/>
  <c r="C37" i="8"/>
  <c r="F19" i="7"/>
  <c r="F18" i="7"/>
  <c r="F15" i="7"/>
  <c r="F17" i="7" s="1"/>
  <c r="V24" i="8"/>
  <c r="X14" i="8"/>
  <c r="X12" i="8"/>
  <c r="X10" i="8"/>
  <c r="X6" i="8"/>
  <c r="X4" i="8"/>
  <c r="L31" i="7"/>
  <c r="I35" i="7"/>
  <c r="L15" i="7" s="1"/>
  <c r="I37" i="7"/>
  <c r="I34" i="7" s="1"/>
  <c r="L16" i="7" s="1"/>
  <c r="J43" i="7"/>
  <c r="I32" i="7"/>
  <c r="I30" i="7" s="1"/>
  <c r="L14" i="7" s="1"/>
  <c r="I29" i="7"/>
  <c r="X16" i="8" s="1"/>
  <c r="I21" i="7"/>
  <c r="I20" i="7"/>
  <c r="I19" i="7"/>
  <c r="I18" i="7"/>
  <c r="I17" i="7"/>
  <c r="I16" i="7"/>
  <c r="I15" i="7"/>
  <c r="I14" i="7"/>
  <c r="I13" i="7"/>
  <c r="I12" i="7"/>
  <c r="L12" i="7" l="1"/>
  <c r="J48" i="7"/>
  <c r="L22" i="7"/>
  <c r="L30" i="7"/>
  <c r="L21" i="7" l="1"/>
  <c r="X8" i="8"/>
  <c r="F45" i="7" l="1"/>
  <c r="J18" i="7" l="1"/>
  <c r="F42" i="7"/>
  <c r="F40" i="7"/>
  <c r="F36" i="7"/>
  <c r="C39" i="7"/>
  <c r="C44" i="7" s="1"/>
  <c r="F32" i="7"/>
  <c r="F47" i="7" s="1"/>
  <c r="C33" i="7"/>
  <c r="C46" i="7" s="1"/>
  <c r="F29" i="7"/>
  <c r="C29" i="7"/>
  <c r="C31" i="7" s="1"/>
  <c r="C42" i="7" s="1"/>
  <c r="L18" i="7" l="1"/>
  <c r="L29" i="7"/>
  <c r="F58" i="7"/>
  <c r="F46" i="7"/>
  <c r="J17" i="7"/>
  <c r="J16" i="7"/>
  <c r="J12" i="7"/>
  <c r="J15" i="7"/>
  <c r="F50" i="7"/>
  <c r="J14" i="7"/>
  <c r="J21" i="7"/>
  <c r="J13" i="7"/>
  <c r="F21" i="7" s="1"/>
  <c r="J20" i="7"/>
  <c r="J19" i="7"/>
  <c r="F37" i="7"/>
  <c r="L28" i="7" l="1"/>
  <c r="L25" i="7"/>
  <c r="L24" i="7" s="1"/>
  <c r="L19" i="7"/>
  <c r="L17" i="7" s="1"/>
  <c r="F48" i="7"/>
  <c r="F49" i="7" s="1"/>
  <c r="F53" i="7"/>
  <c r="C53" i="7"/>
  <c r="C35" i="7"/>
  <c r="C45" i="7" l="1"/>
  <c r="C20" i="7"/>
  <c r="M49" i="4"/>
  <c r="O9" i="4"/>
  <c r="O14" i="4"/>
  <c r="O16" i="4"/>
  <c r="O25" i="4"/>
  <c r="O32" i="4"/>
  <c r="O40" i="4"/>
  <c r="O50" i="4"/>
  <c r="O55" i="4"/>
  <c r="F21" i="5"/>
  <c r="F25" i="5" s="1"/>
  <c r="G21" i="5"/>
  <c r="E21" i="5"/>
  <c r="E25" i="5" s="1"/>
  <c r="F50" i="1"/>
  <c r="G50" i="1"/>
  <c r="F57" i="1"/>
  <c r="K39" i="4" s="1"/>
  <c r="G57" i="1"/>
  <c r="F47" i="1"/>
  <c r="G47" i="1"/>
  <c r="F17" i="1"/>
  <c r="K35" i="4" s="1"/>
  <c r="G17" i="1"/>
  <c r="F6" i="1"/>
  <c r="G6" i="1"/>
  <c r="E57" i="1"/>
  <c r="J39" i="4" s="1"/>
  <c r="E50" i="1"/>
  <c r="E47" i="1"/>
  <c r="L6" i="1" s="1"/>
  <c r="E17" i="1"/>
  <c r="E6" i="1"/>
  <c r="K59" i="4"/>
  <c r="L59" i="4"/>
  <c r="O59" i="4" s="1"/>
  <c r="J59" i="4"/>
  <c r="K25" i="5"/>
  <c r="K34" i="4"/>
  <c r="L34" i="4"/>
  <c r="O34" i="4" s="1"/>
  <c r="J34" i="4"/>
  <c r="K29" i="4"/>
  <c r="L29" i="4"/>
  <c r="O29" i="4" s="1"/>
  <c r="J29" i="4"/>
  <c r="K28" i="4"/>
  <c r="L28" i="4"/>
  <c r="O28" i="4" s="1"/>
  <c r="J28" i="4"/>
  <c r="K27" i="4"/>
  <c r="L27" i="4"/>
  <c r="O27" i="4" s="1"/>
  <c r="J27" i="4"/>
  <c r="K26" i="4"/>
  <c r="L26" i="4"/>
  <c r="O26" i="4" s="1"/>
  <c r="J26" i="4"/>
  <c r="K4" i="4"/>
  <c r="L4" i="4"/>
  <c r="O4" i="4" s="1"/>
  <c r="J4" i="4"/>
  <c r="K28" i="5"/>
  <c r="L30" i="5"/>
  <c r="M30" i="5"/>
  <c r="K30" i="5"/>
  <c r="M28" i="5"/>
  <c r="M27" i="5"/>
  <c r="M26" i="5" s="1"/>
  <c r="M25" i="5"/>
  <c r="M24" i="5"/>
  <c r="M21" i="5"/>
  <c r="M20" i="5"/>
  <c r="M19" i="5"/>
  <c r="M18" i="5"/>
  <c r="M17" i="5"/>
  <c r="M16" i="5"/>
  <c r="M15" i="5"/>
  <c r="M14" i="5"/>
  <c r="M13" i="5"/>
  <c r="M11" i="5"/>
  <c r="M10" i="5"/>
  <c r="M9" i="5"/>
  <c r="M8" i="5"/>
  <c r="M7" i="5"/>
  <c r="M6" i="5"/>
  <c r="L28" i="5"/>
  <c r="L27" i="5"/>
  <c r="L25" i="5"/>
  <c r="L24" i="5"/>
  <c r="L21" i="5"/>
  <c r="L20" i="5"/>
  <c r="L19" i="5"/>
  <c r="L18" i="5"/>
  <c r="L17" i="5"/>
  <c r="L16" i="5"/>
  <c r="L15" i="5"/>
  <c r="L14" i="5"/>
  <c r="L13" i="5"/>
  <c r="L11" i="5"/>
  <c r="L10" i="5"/>
  <c r="L9" i="5"/>
  <c r="L8" i="5"/>
  <c r="L7" i="5"/>
  <c r="L6" i="5"/>
  <c r="K27" i="5"/>
  <c r="K24" i="5"/>
  <c r="K21" i="5"/>
  <c r="K20" i="5"/>
  <c r="K14" i="5"/>
  <c r="K15" i="5"/>
  <c r="K16" i="5"/>
  <c r="K17" i="5"/>
  <c r="K18" i="5"/>
  <c r="K19" i="5"/>
  <c r="K13" i="5"/>
  <c r="K9" i="5"/>
  <c r="K8" i="5"/>
  <c r="K10" i="5"/>
  <c r="K11" i="5"/>
  <c r="K7" i="5"/>
  <c r="K6" i="5"/>
  <c r="L36" i="1"/>
  <c r="J36" i="1"/>
  <c r="J30" i="1"/>
  <c r="L24" i="1"/>
  <c r="J18" i="1"/>
  <c r="L12" i="1"/>
  <c r="J12" i="1"/>
  <c r="K15" i="4"/>
  <c r="J6" i="1"/>
  <c r="L35" i="4" l="1"/>
  <c r="O35" i="4" s="1"/>
  <c r="L37" i="4"/>
  <c r="C4" i="7" s="1"/>
  <c r="P5" i="8" s="1"/>
  <c r="O7" i="8" s="1"/>
  <c r="L18" i="1"/>
  <c r="L17" i="4"/>
  <c r="O17" i="4" s="1"/>
  <c r="J21" i="4"/>
  <c r="K19" i="4"/>
  <c r="K17" i="4"/>
  <c r="K21" i="4"/>
  <c r="K36" i="4"/>
  <c r="L36" i="4"/>
  <c r="O36" i="4" s="1"/>
  <c r="L30" i="1"/>
  <c r="J31" i="1" s="1"/>
  <c r="K3" i="4"/>
  <c r="L21" i="4"/>
  <c r="O21" i="4" s="1"/>
  <c r="L26" i="5"/>
  <c r="J23" i="4"/>
  <c r="E29" i="5"/>
  <c r="J57" i="4" s="1"/>
  <c r="J58" i="4" s="1"/>
  <c r="J43" i="4"/>
  <c r="J8" i="4"/>
  <c r="J7" i="4"/>
  <c r="J56" i="4"/>
  <c r="K7" i="4"/>
  <c r="K56" i="4"/>
  <c r="K23" i="4"/>
  <c r="F29" i="5"/>
  <c r="K43" i="4"/>
  <c r="K8" i="4"/>
  <c r="J3" i="4"/>
  <c r="J5" i="4" s="1"/>
  <c r="G25" i="5"/>
  <c r="L56" i="4" s="1"/>
  <c r="J44" i="7"/>
  <c r="J45" i="7" s="1"/>
  <c r="C31" i="8"/>
  <c r="F54" i="7"/>
  <c r="F55" i="7" s="1"/>
  <c r="C54" i="7"/>
  <c r="C55" i="7" s="1"/>
  <c r="E30" i="1"/>
  <c r="J54" i="4" s="1"/>
  <c r="J17" i="4"/>
  <c r="L13" i="7"/>
  <c r="C15" i="7"/>
  <c r="C21" i="7"/>
  <c r="N28" i="4"/>
  <c r="N29" i="4"/>
  <c r="N27" i="4"/>
  <c r="N26" i="4"/>
  <c r="N59" i="4"/>
  <c r="N34" i="4"/>
  <c r="N4" i="4"/>
  <c r="L43" i="4"/>
  <c r="L8" i="4"/>
  <c r="L7" i="4"/>
  <c r="L3" i="4"/>
  <c r="O3" i="4" s="1"/>
  <c r="L23" i="5"/>
  <c r="K53" i="4" s="1"/>
  <c r="K5" i="4"/>
  <c r="K38" i="4"/>
  <c r="F30" i="1"/>
  <c r="K54" i="4" s="1"/>
  <c r="G30" i="1"/>
  <c r="L10" i="4" s="1"/>
  <c r="C5" i="7" s="1"/>
  <c r="J36" i="4"/>
  <c r="K37" i="4"/>
  <c r="L39" i="4"/>
  <c r="L38" i="4"/>
  <c r="O38" i="4" s="1"/>
  <c r="G68" i="1"/>
  <c r="G69" i="1" s="1"/>
  <c r="L19" i="4"/>
  <c r="O19" i="4" s="1"/>
  <c r="F68" i="1"/>
  <c r="J38" i="4"/>
  <c r="J19" i="4"/>
  <c r="E68" i="1"/>
  <c r="K20" i="4"/>
  <c r="L30" i="4"/>
  <c r="O30" i="4" s="1"/>
  <c r="K30" i="4"/>
  <c r="K31" i="4" s="1"/>
  <c r="J37" i="4"/>
  <c r="J35" i="4"/>
  <c r="J30" i="4"/>
  <c r="J31" i="4" s="1"/>
  <c r="J20" i="4"/>
  <c r="J7" i="1"/>
  <c r="J34" i="1"/>
  <c r="J15" i="4"/>
  <c r="L15" i="4"/>
  <c r="M5" i="5"/>
  <c r="M23" i="5"/>
  <c r="L53" i="4" s="1"/>
  <c r="O53" i="4" s="1"/>
  <c r="K5" i="5"/>
  <c r="M12" i="5"/>
  <c r="L12" i="5"/>
  <c r="K23" i="5"/>
  <c r="J53" i="4" s="1"/>
  <c r="K12" i="5"/>
  <c r="L5" i="5"/>
  <c r="K26" i="5"/>
  <c r="J37" i="1"/>
  <c r="J25" i="1"/>
  <c r="J22" i="1"/>
  <c r="J19" i="1"/>
  <c r="J13" i="1"/>
  <c r="J10" i="1"/>
  <c r="L20" i="4" l="1"/>
  <c r="N17" i="4"/>
  <c r="N35" i="4"/>
  <c r="G70" i="1"/>
  <c r="N21" i="4"/>
  <c r="J10" i="4"/>
  <c r="J41" i="4"/>
  <c r="J11" i="4"/>
  <c r="J52" i="4"/>
  <c r="J46" i="4"/>
  <c r="J33" i="4"/>
  <c r="N36" i="4"/>
  <c r="J14" i="4"/>
  <c r="E5" i="7"/>
  <c r="P11" i="8"/>
  <c r="O13" i="8" s="1"/>
  <c r="C71" i="7"/>
  <c r="AB13" i="8" s="1"/>
  <c r="L14" i="4"/>
  <c r="D12" i="4" s="1"/>
  <c r="N14" i="4"/>
  <c r="F12" i="4" s="1"/>
  <c r="J22" i="8" s="1"/>
  <c r="K57" i="4"/>
  <c r="K58" i="4" s="1"/>
  <c r="F31" i="5"/>
  <c r="K45" i="4" s="1"/>
  <c r="K51" i="4" s="1"/>
  <c r="L29" i="5"/>
  <c r="J12" i="4"/>
  <c r="K14" i="4"/>
  <c r="K29" i="5"/>
  <c r="E31" i="5"/>
  <c r="H44" i="1" s="1"/>
  <c r="C25" i="8"/>
  <c r="L11" i="4"/>
  <c r="C8" i="7" s="1"/>
  <c r="D8" i="4"/>
  <c r="C23" i="8"/>
  <c r="C33" i="8"/>
  <c r="G29" i="5"/>
  <c r="M29" i="5" s="1"/>
  <c r="L54" i="4"/>
  <c r="L23" i="4"/>
  <c r="N23" i="4" s="1"/>
  <c r="F10" i="4" s="1"/>
  <c r="J17" i="8" s="1"/>
  <c r="F56" i="7"/>
  <c r="F57" i="7" s="1"/>
  <c r="J46" i="7"/>
  <c r="C56" i="7"/>
  <c r="C70" i="7"/>
  <c r="AB6" i="8" s="1"/>
  <c r="E4" i="7"/>
  <c r="C43" i="7"/>
  <c r="O37" i="4"/>
  <c r="D14" i="4"/>
  <c r="K6" i="4"/>
  <c r="N56" i="4"/>
  <c r="O56" i="4"/>
  <c r="N7" i="4"/>
  <c r="O7" i="4"/>
  <c r="N20" i="4"/>
  <c r="O20" i="4"/>
  <c r="N10" i="4"/>
  <c r="F8" i="4" s="1"/>
  <c r="J13" i="8" s="1"/>
  <c r="O10" i="4"/>
  <c r="N43" i="4"/>
  <c r="O43" i="4"/>
  <c r="N39" i="4"/>
  <c r="O39" i="4"/>
  <c r="N15" i="4"/>
  <c r="O15" i="4"/>
  <c r="N8" i="4"/>
  <c r="O8" i="4"/>
  <c r="N38" i="4"/>
  <c r="N37" i="4"/>
  <c r="F14" i="4" s="1"/>
  <c r="J27" i="8" s="1"/>
  <c r="L31" i="4"/>
  <c r="O31" i="4" s="1"/>
  <c r="N30" i="4"/>
  <c r="N19" i="4"/>
  <c r="L5" i="4"/>
  <c r="N3" i="4"/>
  <c r="K24" i="4"/>
  <c r="L24" i="4"/>
  <c r="O24" i="4" s="1"/>
  <c r="L13" i="4"/>
  <c r="N13" i="4" s="1"/>
  <c r="K33" i="4"/>
  <c r="K46" i="4"/>
  <c r="K52" i="4"/>
  <c r="K41" i="4"/>
  <c r="K10" i="4"/>
  <c r="K11" i="4"/>
  <c r="J13" i="4"/>
  <c r="L33" i="4"/>
  <c r="D16" i="4" s="1"/>
  <c r="L52" i="4"/>
  <c r="O52" i="4" s="1"/>
  <c r="L41" i="4"/>
  <c r="L46" i="4"/>
  <c r="O46" i="4" s="1"/>
  <c r="L18" i="4"/>
  <c r="O18" i="4" s="1"/>
  <c r="L12" i="4"/>
  <c r="L22" i="4"/>
  <c r="O22" i="4" s="1"/>
  <c r="F69" i="1"/>
  <c r="K12" i="4"/>
  <c r="K13" i="4"/>
  <c r="K22" i="4"/>
  <c r="J22" i="4"/>
  <c r="E69" i="1"/>
  <c r="J24" i="4"/>
  <c r="L57" i="4" l="1"/>
  <c r="G31" i="5"/>
  <c r="L48" i="4" s="1"/>
  <c r="O48" i="4" s="1"/>
  <c r="J18" i="4"/>
  <c r="E70" i="1"/>
  <c r="K18" i="4"/>
  <c r="F70" i="1"/>
  <c r="K48" i="4"/>
  <c r="G16" i="4"/>
  <c r="H33" i="8"/>
  <c r="G14" i="4"/>
  <c r="H28" i="8"/>
  <c r="G8" i="4"/>
  <c r="H14" i="8"/>
  <c r="L31" i="5"/>
  <c r="L33" i="5" s="1"/>
  <c r="K42" i="4"/>
  <c r="K47" i="4"/>
  <c r="K44" i="4"/>
  <c r="K50" i="4" s="1"/>
  <c r="E8" i="7"/>
  <c r="P29" i="8"/>
  <c r="O31" i="8" s="1"/>
  <c r="C74" i="7"/>
  <c r="AB31" i="8" s="1"/>
  <c r="J52" i="7"/>
  <c r="C39" i="8"/>
  <c r="C62" i="7"/>
  <c r="F62" i="7"/>
  <c r="D10" i="4"/>
  <c r="C7" i="7"/>
  <c r="O23" i="4"/>
  <c r="K31" i="5"/>
  <c r="K33" i="5" s="1"/>
  <c r="J44" i="4"/>
  <c r="J50" i="4" s="1"/>
  <c r="J48" i="4"/>
  <c r="J47" i="4"/>
  <c r="J42" i="4"/>
  <c r="J45" i="4"/>
  <c r="J51" i="4" s="1"/>
  <c r="G12" i="4"/>
  <c r="H23" i="8"/>
  <c r="O54" i="4"/>
  <c r="N54" i="4"/>
  <c r="J42" i="7"/>
  <c r="J50" i="7" s="1"/>
  <c r="C35" i="8"/>
  <c r="C52" i="7"/>
  <c r="C60" i="7" s="1"/>
  <c r="F52" i="7"/>
  <c r="F60" i="7" s="1"/>
  <c r="L23" i="7"/>
  <c r="L20" i="7" s="1"/>
  <c r="J47" i="7"/>
  <c r="C58" i="7"/>
  <c r="L11" i="7"/>
  <c r="D70" i="7" s="1"/>
  <c r="E70" i="7" s="1"/>
  <c r="F59" i="7"/>
  <c r="C57" i="7"/>
  <c r="C47" i="7"/>
  <c r="C49" i="7"/>
  <c r="O41" i="4"/>
  <c r="D6" i="4"/>
  <c r="O11" i="4"/>
  <c r="O57" i="4"/>
  <c r="D18" i="4"/>
  <c r="N5" i="4"/>
  <c r="O5" i="4"/>
  <c r="L6" i="4"/>
  <c r="O6" i="4" s="1"/>
  <c r="N33" i="4"/>
  <c r="F16" i="4" s="1"/>
  <c r="J32" i="8" s="1"/>
  <c r="O33" i="4"/>
  <c r="N12" i="4"/>
  <c r="O12" i="4"/>
  <c r="O13" i="4"/>
  <c r="N11" i="4"/>
  <c r="N31" i="4"/>
  <c r="N52" i="4"/>
  <c r="K49" i="4"/>
  <c r="N24" i="4"/>
  <c r="L58" i="4"/>
  <c r="N57" i="4"/>
  <c r="F18" i="4" s="1"/>
  <c r="J37" i="8" s="1"/>
  <c r="N46" i="4"/>
  <c r="N41" i="4"/>
  <c r="F6" i="4" s="1"/>
  <c r="J8" i="8" s="1"/>
  <c r="L44" i="4"/>
  <c r="O44" i="4" s="1"/>
  <c r="M31" i="5"/>
  <c r="M33" i="5" s="1"/>
  <c r="L42" i="4"/>
  <c r="L47" i="4"/>
  <c r="L45" i="4"/>
  <c r="O45" i="4" s="1"/>
  <c r="N22" i="4"/>
  <c r="N18" i="4"/>
  <c r="X18" i="8" l="1"/>
  <c r="J49" i="4"/>
  <c r="N48" i="4"/>
  <c r="G18" i="4"/>
  <c r="H38" i="8"/>
  <c r="F61" i="7"/>
  <c r="F65" i="7" s="1"/>
  <c r="G6" i="4"/>
  <c r="H9" i="8"/>
  <c r="C73" i="7"/>
  <c r="AB25" i="8" s="1"/>
  <c r="E7" i="7"/>
  <c r="P23" i="8"/>
  <c r="O25" i="8" s="1"/>
  <c r="G10" i="4"/>
  <c r="H18" i="8"/>
  <c r="AD6" i="8"/>
  <c r="AA8" i="8"/>
  <c r="J49" i="7"/>
  <c r="J51" i="7" s="1"/>
  <c r="J54" i="7" s="1"/>
  <c r="D73" i="7"/>
  <c r="D74" i="7"/>
  <c r="C59" i="7"/>
  <c r="C61" i="7" s="1"/>
  <c r="C65" i="7" s="1"/>
  <c r="N6" i="4"/>
  <c r="C50" i="7"/>
  <c r="D4" i="4"/>
  <c r="C6" i="7"/>
  <c r="P17" i="8" s="1"/>
  <c r="O19" i="8" s="1"/>
  <c r="N58" i="4"/>
  <c r="O58" i="4"/>
  <c r="N47" i="4"/>
  <c r="O47" i="4"/>
  <c r="N42" i="4"/>
  <c r="F4" i="4" s="1"/>
  <c r="J4" i="8" s="1"/>
  <c r="O42" i="4"/>
  <c r="L51" i="4"/>
  <c r="N45" i="4"/>
  <c r="L50" i="4"/>
  <c r="N44" i="4"/>
  <c r="X28" i="8" l="1"/>
  <c r="I60" i="7"/>
  <c r="E74" i="7"/>
  <c r="AA33" i="8" s="1"/>
  <c r="AD31" i="8"/>
  <c r="E73" i="7"/>
  <c r="AA27" i="8" s="1"/>
  <c r="AD25" i="8"/>
  <c r="F63" i="7"/>
  <c r="F64" i="7" s="1"/>
  <c r="F66" i="7" s="1"/>
  <c r="G4" i="4"/>
  <c r="H5" i="8"/>
  <c r="J53" i="7"/>
  <c r="C63" i="7"/>
  <c r="C64" i="7" s="1"/>
  <c r="C72" i="7"/>
  <c r="AB19" i="8" s="1"/>
  <c r="E6" i="7"/>
  <c r="C9" i="7"/>
  <c r="P35" i="8" s="1"/>
  <c r="N51" i="4"/>
  <c r="O51" i="4"/>
  <c r="L49" i="4"/>
  <c r="N50" i="4"/>
  <c r="L27" i="7" l="1"/>
  <c r="L26" i="7" s="1"/>
  <c r="D71" i="7" s="1"/>
  <c r="E71" i="7" s="1"/>
  <c r="AA15" i="8" s="1"/>
  <c r="J75" i="7"/>
  <c r="J72" i="7"/>
  <c r="X21" i="8"/>
  <c r="C66" i="7"/>
  <c r="X26" i="8" s="1"/>
  <c r="X24" i="8"/>
  <c r="N49" i="4"/>
  <c r="O49" i="4"/>
  <c r="D72" i="7" l="1"/>
  <c r="AD19" i="8" s="1"/>
  <c r="AD13" i="8"/>
  <c r="C75" i="7" l="1"/>
  <c r="AA38" i="8" s="1"/>
  <c r="E72" i="7"/>
  <c r="AA21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Manuel Passos</author>
  </authors>
  <commentList>
    <comment ref="B7" authorId="0" shapeId="0" xr:uid="{83FDB923-763A-4EC1-8D20-49CF2D48348F}">
      <text>
        <r>
          <rPr>
            <b/>
            <sz val="9"/>
            <color indexed="81"/>
            <rFont val="Tahoma"/>
            <family val="2"/>
          </rPr>
          <t>Manuel Passos:
Sinal positivo ou negativo no valor</t>
        </r>
      </text>
    </comment>
    <comment ref="B8" authorId="0" shapeId="0" xr:uid="{0D315BD8-2291-4680-ADAB-F6D255D225F1}">
      <text>
        <r>
          <rPr>
            <b/>
            <sz val="9"/>
            <color indexed="81"/>
            <rFont val="Tahoma"/>
            <family val="2"/>
          </rPr>
          <t>Manuel Passos:</t>
        </r>
        <r>
          <rPr>
            <sz val="9"/>
            <color indexed="81"/>
            <rFont val="Tahoma"/>
            <family val="2"/>
          </rPr>
          <t xml:space="preserve">
Sinal positivo ou negativo no valor</t>
        </r>
      </text>
    </comment>
    <comment ref="B15" authorId="0" shapeId="0" xr:uid="{F1C051AB-E71E-48E8-81C8-65AEBE7B9150}">
      <text>
        <r>
          <rPr>
            <b/>
            <sz val="9"/>
            <color indexed="81"/>
            <rFont val="Tahoma"/>
            <family val="2"/>
          </rPr>
          <t>Manuel Passos: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Sinal positivo ou negativo no valor</t>
        </r>
      </text>
    </comment>
    <comment ref="B16" authorId="0" shapeId="0" xr:uid="{FB4EF0F3-FCBD-46DC-A1C1-74E1C9FF96A9}">
      <text>
        <r>
          <rPr>
            <b/>
            <sz val="9"/>
            <color indexed="81"/>
            <rFont val="Tahoma"/>
            <family val="2"/>
          </rPr>
          <t>Manuel Passos: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Sinal positivo ou negativo no valor</t>
        </r>
      </text>
    </comment>
    <comment ref="B17" authorId="0" shapeId="0" xr:uid="{A95D643D-561E-4981-8EA4-B20DBF3E146B}">
      <text>
        <r>
          <rPr>
            <b/>
            <sz val="9"/>
            <color indexed="81"/>
            <rFont val="Tahoma"/>
            <family val="2"/>
          </rPr>
          <t>Manuel Passos: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Sinal positivo ou negativo no valor</t>
        </r>
      </text>
    </comment>
    <comment ref="B23" authorId="0" shapeId="0" xr:uid="{C869DFB7-38E2-44BA-A3C8-2979C38890D4}">
      <text>
        <r>
          <rPr>
            <b/>
            <sz val="9"/>
            <color indexed="81"/>
            <rFont val="Tahoma"/>
            <family val="2"/>
          </rPr>
          <t>Manuel Passos: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Sinal positivo ou negativo no valor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Manuel Passos</author>
  </authors>
  <commentList>
    <comment ref="C12" authorId="0" shapeId="0" xr:uid="{CA95B51E-078A-454E-A194-6F62EEB2DBC5}">
      <text>
        <r>
          <rPr>
            <b/>
            <sz val="9"/>
            <color indexed="81"/>
            <rFont val="Tahoma"/>
            <family val="2"/>
          </rPr>
          <t>Manuel Passos:</t>
        </r>
        <r>
          <rPr>
            <sz val="9"/>
            <color indexed="81"/>
            <rFont val="Tahoma"/>
            <family val="2"/>
          </rPr>
          <t xml:space="preserve">
CAE41100, CAE41200, CAE68100, CAE68311</t>
        </r>
      </text>
    </comment>
    <comment ref="C13" authorId="0" shapeId="0" xr:uid="{3AFBA709-82D9-4098-9B40-E806F402B006}">
      <text>
        <r>
          <rPr>
            <b/>
            <sz val="9"/>
            <color indexed="81"/>
            <rFont val="Tahoma"/>
            <family val="2"/>
          </rPr>
          <t>Manuel Passos:</t>
        </r>
        <r>
          <rPr>
            <sz val="9"/>
            <color indexed="81"/>
            <rFont val="Tahoma"/>
            <family val="2"/>
          </rPr>
          <t xml:space="preserve">
Alterar este campo, altera também todo o relatório, visto que o relatório irá focar na intenção do investimento</t>
        </r>
      </text>
    </comment>
    <comment ref="D19" authorId="0" shapeId="0" xr:uid="{23113FAC-701C-4D2D-A460-2FCE4706BF20}">
      <text>
        <r>
          <rPr>
            <b/>
            <sz val="9"/>
            <color indexed="81"/>
            <rFont val="Tahoma"/>
            <family val="2"/>
          </rPr>
          <t>Manuel Passos:</t>
        </r>
        <r>
          <rPr>
            <sz val="9"/>
            <color indexed="81"/>
            <rFont val="Tahoma"/>
            <family val="2"/>
          </rPr>
          <t xml:space="preserve">
A vida útil pode ser alterado mas deverá ser discutido com o contabilísta</t>
        </r>
      </text>
    </comment>
    <comment ref="L22" authorId="0" shapeId="0" xr:uid="{B112B2C6-814B-4999-AEAB-EEE4C3A2320D}">
      <text>
        <r>
          <rPr>
            <b/>
            <sz val="9"/>
            <color indexed="81"/>
            <rFont val="Tahoma"/>
            <family val="2"/>
          </rPr>
          <t>Manuel Passos:</t>
        </r>
        <r>
          <rPr>
            <sz val="9"/>
            <color indexed="81"/>
            <rFont val="Tahoma"/>
            <family val="2"/>
          </rPr>
          <t xml:space="preserve">
Não está contabilizado o modelo do justo valor para este cenário</t>
        </r>
      </text>
    </comment>
    <comment ref="I47" authorId="0" shapeId="0" xr:uid="{2F80AD01-D5E8-4A05-AABE-FC26209B2F61}">
      <text>
        <r>
          <rPr>
            <b/>
            <sz val="9"/>
            <color indexed="81"/>
            <rFont val="Tahoma"/>
            <family val="2"/>
          </rPr>
          <t>Manuel Passos:</t>
        </r>
        <r>
          <rPr>
            <sz val="9"/>
            <color indexed="81"/>
            <rFont val="Tahoma"/>
            <family val="2"/>
          </rPr>
          <t xml:space="preserve">
Alterar esta célula caso as imparidades de investimento sejam negativas (G23 da Demonstração de Resultados)</t>
        </r>
      </text>
    </comment>
    <comment ref="J47" authorId="0" shapeId="0" xr:uid="{62B5BE8A-2354-4049-8D3D-ACF3C00EADA8}">
      <text>
        <r>
          <rPr>
            <b/>
            <sz val="9"/>
            <color indexed="81"/>
            <rFont val="Tahoma"/>
            <family val="2"/>
          </rPr>
          <t>Manuel Passos:</t>
        </r>
        <r>
          <rPr>
            <sz val="9"/>
            <color indexed="81"/>
            <rFont val="Tahoma"/>
            <family val="2"/>
          </rPr>
          <t xml:space="preserve">
Alterar esta célula caso as imparidades de investimento sejam negativas (G23 da Demonstração de Resultados)</t>
        </r>
      </text>
    </comment>
    <comment ref="I54" authorId="0" shapeId="0" xr:uid="{2A25344E-6AA7-42F9-A0FA-729226150BF1}">
      <text>
        <r>
          <rPr>
            <b/>
            <sz val="9"/>
            <color indexed="81"/>
            <rFont val="Tahoma"/>
            <family val="2"/>
          </rPr>
          <t xml:space="preserve">Manuel Passos:
</t>
        </r>
        <r>
          <rPr>
            <sz val="9"/>
            <color indexed="81"/>
            <rFont val="Tahoma"/>
            <family val="2"/>
          </rPr>
          <t>Os impostos na compra reduzem o lucro líquido, mas apenas no primeiro ano</t>
        </r>
      </text>
    </comment>
    <comment ref="J54" authorId="0" shapeId="0" xr:uid="{6A7387E5-3BF1-4F11-AB1B-A6C425C162D1}">
      <text>
        <r>
          <rPr>
            <b/>
            <sz val="9"/>
            <color indexed="81"/>
            <rFont val="Tahoma"/>
            <family val="2"/>
          </rPr>
          <t xml:space="preserve">Manuel Passos:
</t>
        </r>
        <r>
          <rPr>
            <sz val="9"/>
            <color indexed="81"/>
            <rFont val="Tahoma"/>
            <family val="2"/>
          </rPr>
          <t>Os impostos na compra reduzem o lucro líquido, mas apenas no primeiro ano</t>
        </r>
      </text>
    </comment>
    <comment ref="H56" authorId="0" shapeId="0" xr:uid="{4C309105-F399-45A9-B19D-4A2B2DE62421}">
      <text>
        <r>
          <rPr>
            <b/>
            <sz val="9"/>
            <color indexed="81"/>
            <rFont val="Tahoma"/>
            <family val="2"/>
          </rPr>
          <t>Manuel Passos:</t>
        </r>
        <r>
          <rPr>
            <sz val="9"/>
            <color indexed="81"/>
            <rFont val="Tahoma"/>
            <family val="2"/>
          </rPr>
          <t xml:space="preserve">
Caso a empresa esteja a pagar uma renda para o seu espaço, deve introduzir o valor da renda que paga neste campo</t>
        </r>
      </text>
    </comment>
    <comment ref="C57" authorId="0" shapeId="0" xr:uid="{246D79CE-1F65-4806-91B5-4496DF1B9A9A}">
      <text>
        <r>
          <rPr>
            <b/>
            <sz val="9"/>
            <color indexed="81"/>
            <rFont val="Tahoma"/>
            <family val="2"/>
          </rPr>
          <t>Manuel Passos:</t>
        </r>
        <r>
          <rPr>
            <sz val="9"/>
            <color indexed="81"/>
            <rFont val="Tahoma"/>
            <family val="2"/>
          </rPr>
          <t xml:space="preserve">
Alterar esta célula caso as imparidades de investimento sejam negativas (G23 da Demonstração de Resultados)</t>
        </r>
      </text>
    </comment>
    <comment ref="F57" authorId="0" shapeId="0" xr:uid="{3EAA53B1-3EAB-4DE6-8868-2DD44EDEB6CB}">
      <text>
        <r>
          <rPr>
            <b/>
            <sz val="9"/>
            <color indexed="81"/>
            <rFont val="Tahoma"/>
            <family val="2"/>
          </rPr>
          <t>Manuel Passos:</t>
        </r>
        <r>
          <rPr>
            <sz val="9"/>
            <color indexed="81"/>
            <rFont val="Tahoma"/>
            <family val="2"/>
          </rPr>
          <t xml:space="preserve">
Alterar esta célula caso as imparidades de investimento sejam negativas (G23 da Demonstração de Resultados)</t>
        </r>
      </text>
    </comment>
    <comment ref="I60" authorId="0" shapeId="0" xr:uid="{50227ED8-55FC-4EC3-8F6C-35C9C3608E52}">
      <text>
        <r>
          <rPr>
            <b/>
            <sz val="9"/>
            <color indexed="81"/>
            <rFont val="Tahoma"/>
            <family val="2"/>
          </rPr>
          <t>Manuel Passos:</t>
        </r>
        <r>
          <rPr>
            <sz val="9"/>
            <color indexed="81"/>
            <rFont val="Tahoma"/>
            <family val="2"/>
          </rPr>
          <t xml:space="preserve">
O que fica na conta da empresa por não se pagar a renda do espaço existente. Contabiliza-se as comissões bancárias, despesas de gestão, condomínio, no entanto, não se contabiliza o capital amortizado do crédito recorrido, visto que este montante não é perdido, visto que está a pagar o imóvel.</t>
        </r>
      </text>
    </comment>
    <comment ref="F64" authorId="0" shapeId="0" xr:uid="{644E663F-3E08-4F4E-BB1D-655C3740D3A9}">
      <text>
        <r>
          <rPr>
            <b/>
            <sz val="9"/>
            <color indexed="81"/>
            <rFont val="Tahoma"/>
            <family val="2"/>
          </rPr>
          <t xml:space="preserve">Manuel Passos:
</t>
        </r>
        <r>
          <rPr>
            <sz val="9"/>
            <color indexed="81"/>
            <rFont val="Tahoma"/>
            <family val="2"/>
          </rPr>
          <t>Os impostos na compra reduzem o lucro líquido, mas apenas no primeiro ano</t>
        </r>
      </text>
    </comment>
    <comment ref="J70" authorId="0" shapeId="0" xr:uid="{3201C9DB-3A99-4AA8-A36B-33D4B4EB176F}">
      <text>
        <r>
          <rPr>
            <b/>
            <sz val="9"/>
            <color indexed="81"/>
            <rFont val="Tahoma"/>
            <family val="2"/>
          </rPr>
          <t>Manuel Passos:</t>
        </r>
        <r>
          <rPr>
            <sz val="9"/>
            <color indexed="81"/>
            <rFont val="Tahoma"/>
            <family val="2"/>
          </rPr>
          <t xml:space="preserve">
Alterar na célula G68</t>
        </r>
      </text>
    </comment>
  </commentList>
</comments>
</file>

<file path=xl/sharedStrings.xml><?xml version="1.0" encoding="utf-8"?>
<sst xmlns="http://schemas.openxmlformats.org/spreadsheetml/2006/main" count="595" uniqueCount="395">
  <si>
    <t>RUBRICAS</t>
  </si>
  <si>
    <t>BALANÇO (INDIVIDUAL OU CONSOLIDADO) EM:</t>
  </si>
  <si>
    <t>Ativo não corrente</t>
  </si>
  <si>
    <t>Ativos fixos tangíveis</t>
  </si>
  <si>
    <t>Propriedades de investimento</t>
  </si>
  <si>
    <t>Goodwill</t>
  </si>
  <si>
    <t>Ativos intangíveis</t>
  </si>
  <si>
    <t xml:space="preserve">Ativos biológicos </t>
  </si>
  <si>
    <t>Participações financeiras - metodo de equivalência patrimonial</t>
  </si>
  <si>
    <t xml:space="preserve">Outros investimentos financeiros </t>
  </si>
  <si>
    <t>Créditos a receber</t>
  </si>
  <si>
    <t>Ativos por impostos diferidos</t>
  </si>
  <si>
    <t>Ativo corrente</t>
  </si>
  <si>
    <t xml:space="preserve">Inventários </t>
  </si>
  <si>
    <t>Ativos biológicos</t>
  </si>
  <si>
    <t>Clientes</t>
  </si>
  <si>
    <t>Estado e outros entes públicos</t>
  </si>
  <si>
    <t>Outros créditos a receber</t>
  </si>
  <si>
    <t>Diferimentos</t>
  </si>
  <si>
    <t>Ativos financeiros detidos para negociação</t>
  </si>
  <si>
    <t>Outros ativos financeiros</t>
  </si>
  <si>
    <t>Ativos não correntes detidos para venda</t>
  </si>
  <si>
    <t>Caixa e depósitos bancários</t>
  </si>
  <si>
    <t>Total do ativo</t>
  </si>
  <si>
    <t>CAPITAL PRÓPRIO E PASSIVO</t>
  </si>
  <si>
    <t>CAPITAL PRÓPRIO</t>
  </si>
  <si>
    <t>ATIVO</t>
  </si>
  <si>
    <t>Capital subscrito</t>
  </si>
  <si>
    <t>Ações (quotas) próprias</t>
  </si>
  <si>
    <t>Outros instrumentos de capital próprio</t>
  </si>
  <si>
    <t xml:space="preserve">Prémios de emissão </t>
  </si>
  <si>
    <t>Reservas legais</t>
  </si>
  <si>
    <t>Outras reservas</t>
  </si>
  <si>
    <t>Resultados transitados</t>
  </si>
  <si>
    <t xml:space="preserve">Excedentes de revalorização </t>
  </si>
  <si>
    <t>Ajustamentos / outras variações do capital próprio</t>
  </si>
  <si>
    <t>Resultado líquido do período</t>
  </si>
  <si>
    <t xml:space="preserve">Interesses que não controlam </t>
  </si>
  <si>
    <t>Total do capital próprio</t>
  </si>
  <si>
    <t>PASSIVO</t>
  </si>
  <si>
    <t>Passivo não corrente</t>
  </si>
  <si>
    <t>Provisões</t>
  </si>
  <si>
    <t>Financiamentos obtidos</t>
  </si>
  <si>
    <t>Responsabilidades por benefícios pós-emprego</t>
  </si>
  <si>
    <t>Passivos por impostos diferidos</t>
  </si>
  <si>
    <t>Outras dívidas a pagar</t>
  </si>
  <si>
    <t>Passivo corrente</t>
  </si>
  <si>
    <t>Fornecedores</t>
  </si>
  <si>
    <t>Adiantamentos por clientes</t>
  </si>
  <si>
    <t>Passivos financeiros detidos para negociação</t>
  </si>
  <si>
    <t>Outros passivos financeiros</t>
  </si>
  <si>
    <t>Passivos não correntes detidos para venda</t>
  </si>
  <si>
    <t>Total do passivo</t>
  </si>
  <si>
    <t>Total do capital próprio e do passivo</t>
  </si>
  <si>
    <t>NOTAS</t>
  </si>
  <si>
    <t>N</t>
  </si>
  <si>
    <t>N+1</t>
  </si>
  <si>
    <t>N+2</t>
  </si>
  <si>
    <t>Capital subscrito e não realizado</t>
  </si>
  <si>
    <t>DEMONSTRAÇÃO (INDIVIDUAL OU CONSOLIDADO) DE RESULTADOS POR NATUREZAS EM:</t>
  </si>
  <si>
    <t>Vendas e serviços prestados</t>
  </si>
  <si>
    <t>Subsídios à exploração</t>
  </si>
  <si>
    <t>Ganhos/perdas imputados de subsidiárias, associadas e empreendimentos conjuntos</t>
  </si>
  <si>
    <t>Variação nos inventários de produção</t>
  </si>
  <si>
    <t>Trabalhos para a própria entidade</t>
  </si>
  <si>
    <t>Custos de mercadorias vendidas e das matérias consumidas</t>
  </si>
  <si>
    <t>Fornecimentos e serviços externos</t>
  </si>
  <si>
    <t>Gastos com o pessoal</t>
  </si>
  <si>
    <t>Provisões (aumentos/reduções)</t>
  </si>
  <si>
    <t>Imparidade de inventários (perdas/reversões)</t>
  </si>
  <si>
    <t>Imparidade de dívidas a receber (perdas/reversões)</t>
  </si>
  <si>
    <t>Imparidade de investimentos não depreciáveis/amortizáveis (perdas/reversões)</t>
  </si>
  <si>
    <t>Aumentos/reduções de justo valor</t>
  </si>
  <si>
    <t>Outros rendimentos</t>
  </si>
  <si>
    <t>Outros gastos</t>
  </si>
  <si>
    <t>Resultado antes de depreciações, gastos de financiamento e impostos</t>
  </si>
  <si>
    <t xml:space="preserve">Gastos/reversões de depreciação e de amortização </t>
  </si>
  <si>
    <t>Imparidade de investimentos depreciáveis/amortizações (perdas/reversões)</t>
  </si>
  <si>
    <t>Resultado operacional (antes de gastos de financiamento e impostos)</t>
  </si>
  <si>
    <t>Juros e rendimentos similares obtidos</t>
  </si>
  <si>
    <t>Juros e gastos similares suportados</t>
  </si>
  <si>
    <t xml:space="preserve">Resultado antes de impostos </t>
  </si>
  <si>
    <t xml:space="preserve">Imposto sobre o rendimento do período </t>
  </si>
  <si>
    <t xml:space="preserve">Resultado líquido do período </t>
  </si>
  <si>
    <t>Inserir todos os valores com sinal negativo ou positivo</t>
  </si>
  <si>
    <t>INDICADORES</t>
  </si>
  <si>
    <t>Ciclo de Investimento (renovação) / operações de capital (MLP)</t>
  </si>
  <si>
    <t>Ciclo de Exploração</t>
  </si>
  <si>
    <t>Necessidades do Fundo de Maneio</t>
  </si>
  <si>
    <t xml:space="preserve">Fundo de Maneio </t>
  </si>
  <si>
    <t>Ciclo de Financiamento (tesouraria de curto prazo)</t>
  </si>
  <si>
    <t>Tesouraria Líquida</t>
  </si>
  <si>
    <t>Ciclos Financeiros</t>
  </si>
  <si>
    <t>Recursos Estáveis (Capitais Permanentes)</t>
  </si>
  <si>
    <t>Necessidades Cíclicas</t>
  </si>
  <si>
    <t>Recursos Cíclicos</t>
  </si>
  <si>
    <t>Tesouraria Ativa</t>
  </si>
  <si>
    <t>Tesouraria Passiva</t>
  </si>
  <si>
    <t>BALANÇO FUNCIONAL de N</t>
  </si>
  <si>
    <r>
      <t xml:space="preserve">Elabore o </t>
    </r>
    <r>
      <rPr>
        <b/>
        <u/>
        <sz val="14"/>
        <color theme="1"/>
        <rFont val="Calibri"/>
        <family val="2"/>
        <scheme val="minor"/>
      </rPr>
      <t>BALANÇO FUNCIONAL</t>
    </r>
  </si>
  <si>
    <t xml:space="preserve">Metodologia para construir o Balanço Funcional </t>
  </si>
  <si>
    <r>
      <t>Pergunta:</t>
    </r>
    <r>
      <rPr>
        <sz val="12"/>
        <color theme="1"/>
        <rFont val="Calibri"/>
        <family val="2"/>
        <scheme val="minor"/>
      </rPr>
      <t xml:space="preserve"> A informação pertence ao ciclo de exploração? </t>
    </r>
  </si>
  <si>
    <r>
      <t>Resposta:</t>
    </r>
    <r>
      <rPr>
        <sz val="12"/>
        <color theme="1"/>
        <rFont val="Calibri"/>
        <family val="2"/>
        <scheme val="minor"/>
      </rPr>
      <t xml:space="preserve"> SIM – deverá então a informação ser organizada em Ativo (Necessidades Cíclicas – NC) ou em Passivo (Recursos Cíclicos – RC) </t>
    </r>
  </si>
  <si>
    <r>
      <t>Resposta:</t>
    </r>
    <r>
      <rPr>
        <sz val="12"/>
        <color theme="1"/>
        <rFont val="Calibri"/>
        <family val="2"/>
        <scheme val="minor"/>
      </rPr>
      <t xml:space="preserve"> NÃO </t>
    </r>
  </si>
  <si>
    <r>
      <t>Pergunta:</t>
    </r>
    <r>
      <rPr>
        <sz val="12"/>
        <color theme="1"/>
        <rFont val="Calibri"/>
        <family val="2"/>
        <scheme val="minor"/>
      </rPr>
      <t xml:space="preserve"> Qual é o horizonte temporal? </t>
    </r>
  </si>
  <si>
    <r>
      <t>Resposta: Curto Prazo</t>
    </r>
    <r>
      <rPr>
        <sz val="12"/>
        <color theme="1"/>
        <rFont val="Calibri"/>
        <family val="2"/>
        <scheme val="minor"/>
      </rPr>
      <t xml:space="preserve"> – os itens do ativo são afetos a Tesouraria Ativa e os itens do passivo são afetos a Tesouraria Passiva Resposta: </t>
    </r>
  </si>
  <si>
    <r>
      <t>Médio e Longo Prazo</t>
    </r>
    <r>
      <rPr>
        <sz val="12"/>
        <color theme="1"/>
        <rFont val="Calibri"/>
        <family val="2"/>
        <scheme val="minor"/>
      </rPr>
      <t xml:space="preserve"> – os itens do ativo são agrupados em aplicações fixas líquidas e os itens do passivo são agrupados em recursos estáveis.</t>
    </r>
  </si>
  <si>
    <t>BALANÇO FUNCIONAL de N+1</t>
  </si>
  <si>
    <t>BALANÇO FUNCIONAL de N+2</t>
  </si>
  <si>
    <t>DEMONSTRAÇÃO DE RESULTADOS FUNCIONAL</t>
  </si>
  <si>
    <t>RENDIMENTOS OPERACIONAIS</t>
  </si>
  <si>
    <t>GASTOS OPERACIONAIS</t>
  </si>
  <si>
    <t>RESULTADOS FINANCEIROS</t>
  </si>
  <si>
    <t>RESULTADOS EVENTUAIS</t>
  </si>
  <si>
    <t>Dividendos</t>
  </si>
  <si>
    <t>Resultado retido</t>
  </si>
  <si>
    <t>RÁCIOS DO BALANÇO</t>
  </si>
  <si>
    <t>Ativo Económico</t>
  </si>
  <si>
    <t>INDICADORES DE LONGO PRAZO</t>
  </si>
  <si>
    <t>Rácio de Estrutura (RDE)</t>
  </si>
  <si>
    <t>Rácio de Autonomia Financeira (RAF)</t>
  </si>
  <si>
    <t>Rácio de Endividamento (RE)</t>
  </si>
  <si>
    <t>Rácio de Solvabilidade (RS)</t>
  </si>
  <si>
    <t>Rácio de Estabilidade de Financiamento (REF)</t>
  </si>
  <si>
    <t>Rácio de Estrutura do Passivo (REP)</t>
  </si>
  <si>
    <t>Rácio de Cobertura das Aplicações Fixas Líquidas por Recursos Estáveis (RCAFLRE)</t>
  </si>
  <si>
    <t>Rácio de Cobertura das Aplicações Fixas Líquidas por Capital Próprio (RCAFLCP)</t>
  </si>
  <si>
    <t>Rácio de Estrutura de Endividamento (REE)</t>
  </si>
  <si>
    <t>Rácio de Solvabilidade em Sentido Restrito (RSSR)</t>
  </si>
  <si>
    <t>Rácio de Cobertura de Gastos de Financiamento (RCGF)</t>
  </si>
  <si>
    <t>Rácio de Gastos de Financiamento (RGF)</t>
  </si>
  <si>
    <t>Rotação de Inventários (RI)</t>
  </si>
  <si>
    <t>Duração Média de Inventários (DMI)</t>
  </si>
  <si>
    <t>Prazo Médio de Recebimento (PMR)</t>
  </si>
  <si>
    <t>Prazo Médio de Pagamento (PMP)</t>
  </si>
  <si>
    <t>Duração do Ciclo Operacional (DCO)</t>
  </si>
  <si>
    <t>Duração do Ciclo Financeiro (DCF)</t>
  </si>
  <si>
    <t>RÁCIOS DE ATIVIDADE MÉDIA E LONGO PRAZO</t>
  </si>
  <si>
    <t>RÁCIOS DE ATIVIDADE DE CURTO PRAZO</t>
  </si>
  <si>
    <t>Rotação do Ativo Total (RAT)</t>
  </si>
  <si>
    <t>Rotação das Aplicações Fixas Líquidas de Exploração (RAFLE)</t>
  </si>
  <si>
    <t>Rotação do Ativo Corrente (RAC)</t>
  </si>
  <si>
    <t>Rotação do Capital Próprio (RCP)</t>
  </si>
  <si>
    <t>Consumos intermédios (CI)</t>
  </si>
  <si>
    <t>Valor Bruto de Produção (VBP)</t>
  </si>
  <si>
    <t>Valor Acrescentado Bruto (VAB)</t>
  </si>
  <si>
    <t>Taxa de Crescimento (TC)</t>
  </si>
  <si>
    <t>Excedente Bruto de Exploração (EBE)</t>
  </si>
  <si>
    <t>Excedente Líquido de Produção (ELP)</t>
  </si>
  <si>
    <t>Liquidez Geral (LG)</t>
  </si>
  <si>
    <t>Liquidez Reduzida (LR)</t>
  </si>
  <si>
    <t>Liquidez Imediata (LI)</t>
  </si>
  <si>
    <t>RÁCIOS DE RENDIBILIDADE</t>
  </si>
  <si>
    <t>Valores do Setor de Atividade</t>
  </si>
  <si>
    <t>Return On Assets (ROA)</t>
  </si>
  <si>
    <t>Return On Equity (ROE)</t>
  </si>
  <si>
    <t>ANÁLISE DUPONT</t>
  </si>
  <si>
    <t>Rendibilidade Líquida das Vendas (RLV)</t>
  </si>
  <si>
    <t>Rotação do Ativo (RA)</t>
  </si>
  <si>
    <t>Leverage Financeiro (LF)</t>
  </si>
  <si>
    <t>Rendibilidade Operacional das Vendas (ROV)</t>
  </si>
  <si>
    <t>Rendibilidade do Ativo (RA)</t>
  </si>
  <si>
    <t>Rendibilidade Operacional do Ativo (ROA)</t>
  </si>
  <si>
    <t>Rendibilidade Capital Próprio (RCP)</t>
  </si>
  <si>
    <t>Equação Fundamental da Rendibilidade</t>
  </si>
  <si>
    <t>Efeito da Alavanca Financeira</t>
  </si>
  <si>
    <t>GRAUS DE ALAVANCA</t>
  </si>
  <si>
    <t>Grau de Alavanca Operacional (GAO)</t>
  </si>
  <si>
    <t>Grau de Alavanca Financeira (GAF)</t>
  </si>
  <si>
    <t>Grau Combinado de Alavanca (GCA)</t>
  </si>
  <si>
    <t>Margem de Segurança</t>
  </si>
  <si>
    <t>Impostos Indiretos</t>
  </si>
  <si>
    <t>Aplicações Fixas Líquidas (Ativo não corrente)</t>
  </si>
  <si>
    <t>Informação para N+2</t>
  </si>
  <si>
    <t>Comentário Pessoal</t>
  </si>
  <si>
    <t>2024 (N)</t>
  </si>
  <si>
    <t>2025 (N+1)</t>
  </si>
  <si>
    <t>2026 (N+2)</t>
  </si>
  <si>
    <t>NOME DA ENTIDADE</t>
  </si>
  <si>
    <t>RESUMO DO BALANÇO FUNCIONAL</t>
  </si>
  <si>
    <t>Taxa Média de Juros de Capital Alheio</t>
  </si>
  <si>
    <t>Taxas de juros sobre capitais alheios (para cálculos auxiliares)</t>
  </si>
  <si>
    <t>Comparação com o Setor (para N+2)</t>
  </si>
  <si>
    <t>QUADRO RESUMO</t>
  </si>
  <si>
    <t>INDICADOR</t>
  </si>
  <si>
    <t>DIMENSÃO</t>
  </si>
  <si>
    <t>RENTABILIDADE</t>
  </si>
  <si>
    <t>ESTRUTURA FINANCEIRA</t>
  </si>
  <si>
    <t>LIQUIDEZ</t>
  </si>
  <si>
    <t>EFICIÊNCIA</t>
  </si>
  <si>
    <t>Return on Equity (ROE)</t>
  </si>
  <si>
    <t>Return on Assets (ROA)</t>
  </si>
  <si>
    <t>Autonomia Financeira (RAF)</t>
  </si>
  <si>
    <t>VALOR EM N+2</t>
  </si>
  <si>
    <t>COMENTÁRIO PARA N+2</t>
  </si>
  <si>
    <t>Rotação do Ativo (RAT)</t>
  </si>
  <si>
    <t>BALANÇO</t>
  </si>
  <si>
    <t>Resumo do Balanço</t>
  </si>
  <si>
    <t>RISCO</t>
  </si>
  <si>
    <t>RECOMENDAÇÕES</t>
  </si>
  <si>
    <t>Alterar os campos a amarelo</t>
  </si>
  <si>
    <t>Valor de Aquisião</t>
  </si>
  <si>
    <t>Tipo de Propriedade</t>
  </si>
  <si>
    <t>Modelo contabilístico escolhido</t>
  </si>
  <si>
    <t>Taxa de depreciação anual</t>
  </si>
  <si>
    <t>Depreciação anual esperada</t>
  </si>
  <si>
    <t>Rubrica</t>
  </si>
  <si>
    <t>Indicador</t>
  </si>
  <si>
    <t>Liquidez Geral</t>
  </si>
  <si>
    <t>Autonomia Financeira</t>
  </si>
  <si>
    <t>Rentabilidade do Capital Próprio (ROE)</t>
  </si>
  <si>
    <t>Rácio de Cobertura de Gastos de Financiamento</t>
  </si>
  <si>
    <t>Rácio de Envididamento</t>
  </si>
  <si>
    <t>Atual N+2</t>
  </si>
  <si>
    <t>Recomendado</t>
  </si>
  <si>
    <t>Comentário</t>
  </si>
  <si>
    <t>A empresa tem capacidade para investir?</t>
  </si>
  <si>
    <t>INVESTIMENTO IMOBILIÁRIO</t>
  </si>
  <si>
    <t xml:space="preserve">Empresa tem atividade no setor imobiliário? </t>
  </si>
  <si>
    <t>Intenção de uso do investimento</t>
  </si>
  <si>
    <t>EBOOK LINK</t>
  </si>
  <si>
    <t>Tipo de imóvel</t>
  </si>
  <si>
    <t>Habitacional ou comercial</t>
  </si>
  <si>
    <t>Modelo do custo</t>
  </si>
  <si>
    <t>Método de depreciação</t>
  </si>
  <si>
    <t>Vida util estimada - editável</t>
  </si>
  <si>
    <t>Atenção aos valores de vida útil</t>
  </si>
  <si>
    <t>Valor Patrimonial</t>
  </si>
  <si>
    <t>DADOS DO IMÓVEL</t>
  </si>
  <si>
    <t>Obras</t>
  </si>
  <si>
    <t>Habitação</t>
  </si>
  <si>
    <t>OUTRAS COMISSÕES</t>
  </si>
  <si>
    <t>IMT</t>
  </si>
  <si>
    <t>IS</t>
  </si>
  <si>
    <t>Escritura</t>
  </si>
  <si>
    <t>Investido</t>
  </si>
  <si>
    <t>PVP</t>
  </si>
  <si>
    <t>Lucro Bruto</t>
  </si>
  <si>
    <t>Comissão imobiliária</t>
  </si>
  <si>
    <t>Financiamento</t>
  </si>
  <si>
    <t>Maturidade</t>
  </si>
  <si>
    <t>Taxa de juro</t>
  </si>
  <si>
    <t>Loan do Value</t>
  </si>
  <si>
    <t>Prestação mensal</t>
  </si>
  <si>
    <t xml:space="preserve">FINANCIAMENTO </t>
  </si>
  <si>
    <t>Ano</t>
  </si>
  <si>
    <t>Juros pagos</t>
  </si>
  <si>
    <t>Dívida paga</t>
  </si>
  <si>
    <t>I.S sobre o crédito</t>
  </si>
  <si>
    <t>Total de comissões bancárias</t>
  </si>
  <si>
    <t>Amortização antecipada</t>
  </si>
  <si>
    <t>Capitais próprios</t>
  </si>
  <si>
    <t>INVESTIMENTO COM RECURSO A FINANCIAMENTO?</t>
  </si>
  <si>
    <t>OUTRAS DESPESAS DE GESTÃO</t>
  </si>
  <si>
    <t>IMI anual</t>
  </si>
  <si>
    <t>Condomínio</t>
  </si>
  <si>
    <t>Luz e água</t>
  </si>
  <si>
    <t>RESUMO DE 1 ANO</t>
  </si>
  <si>
    <t>Lucro bruto</t>
  </si>
  <si>
    <t>Despesas de gestão</t>
  </si>
  <si>
    <t>Impostos + escritura</t>
  </si>
  <si>
    <t>EBITDA COM INVESTIMENTO</t>
  </si>
  <si>
    <t>RESULTADO OPERACIONAL COM INVESTIMENTO</t>
  </si>
  <si>
    <t>ARRENDAMENTO NO PRIMEIRO ANO</t>
  </si>
  <si>
    <t>RESULTADO ANTES DE IMPOSTOS COM INVESTIMENTO</t>
  </si>
  <si>
    <t>IMPOSTOS SOBRE O RENDIMENTO DO PERÍODO COM INVESTIMENTO</t>
  </si>
  <si>
    <t>Resultado antes de impostos antes do investimento (N+2)</t>
  </si>
  <si>
    <t>Imposto sobre o rendimento do período antes do investimento (N+2)</t>
  </si>
  <si>
    <t>RENDA</t>
  </si>
  <si>
    <t>Renda mensal</t>
  </si>
  <si>
    <t>Renda anual</t>
  </si>
  <si>
    <t>Rentabilidade bruta</t>
  </si>
  <si>
    <t>Custos de manuntenção</t>
  </si>
  <si>
    <t>Custos de gestão</t>
  </si>
  <si>
    <t>RETORNO CASH ON CASH</t>
  </si>
  <si>
    <t>REVENDA NO MESMO ANO DA COMPRA</t>
  </si>
  <si>
    <t>ANÁLISE DE INVESTIMENTO</t>
  </si>
  <si>
    <t>Capitais próprios usados</t>
  </si>
  <si>
    <t xml:space="preserve">Rentabilidade </t>
  </si>
  <si>
    <t>Atenção na escolha da intenção de uso do investimento (C13) pois, dependendo dessa escolha, o excel vai recolher o valor de aquisição apropriado</t>
  </si>
  <si>
    <t>Comissões bancárias + amortização antecipada</t>
  </si>
  <si>
    <t>ANÁLISE CASH ON CASH</t>
  </si>
  <si>
    <t>Comissões bancárias</t>
  </si>
  <si>
    <t>EBITDA sem investimento</t>
  </si>
  <si>
    <t>Depreciação anual contabilística</t>
  </si>
  <si>
    <t>Taxa efetiva de IRC</t>
  </si>
  <si>
    <t>RESULTADO LÍQUIDO DO PERÍODO COM INVESTIMENTO</t>
  </si>
  <si>
    <t>LUCRO LÍQUIDO DO INVESTIMENTO DEPOIS DE IMPOSTOS</t>
  </si>
  <si>
    <t>Encargos financeiros e bancários</t>
  </si>
  <si>
    <t>Resultado líquido do período sem investimento</t>
  </si>
  <si>
    <t>Contabilizado as depreciações e imparidades do período N+2</t>
  </si>
  <si>
    <t>Contabilizado os juros e rendimentos similares e os juros e gastos financeiros do período N+2 (folha Demonstração de Resultados)</t>
  </si>
  <si>
    <t>Capitais próprios em função do financiamento. O valor das obras não está incluído no financiamento, apenas a aquisição,</t>
  </si>
  <si>
    <t>Terreno não tem depreciação</t>
  </si>
  <si>
    <t>Rácio de cobertura de gastos de financiamento (RCGF)</t>
  </si>
  <si>
    <t>Comparar com o excel de investimento a titulo pessoal</t>
  </si>
  <si>
    <t>Qual foi o impacto do investimento na performance da empresa?</t>
  </si>
  <si>
    <t>Depois do investimento</t>
  </si>
  <si>
    <t>Alterações ao BALANÇO</t>
  </si>
  <si>
    <t>Alterações ao Ativo Corrente</t>
  </si>
  <si>
    <t>Alterações ao Passivo Corrente</t>
  </si>
  <si>
    <t>Juros do 1º ano</t>
  </si>
  <si>
    <t>Amortização do 1º ano</t>
  </si>
  <si>
    <t>Alterações ao Capital Próprio</t>
  </si>
  <si>
    <t>Inventário (C14 = inventário)</t>
  </si>
  <si>
    <t>Lucro (soma ao RLP)</t>
  </si>
  <si>
    <t>Não</t>
  </si>
  <si>
    <t>Alterações ao Ativo Não Corrente</t>
  </si>
  <si>
    <t>Valor do aquisição (modelo de custo)</t>
  </si>
  <si>
    <t>IMT, IS e escritura</t>
  </si>
  <si>
    <t>Depreciação</t>
  </si>
  <si>
    <t>Alterações ao Passivo Não Corrente</t>
  </si>
  <si>
    <t>Financiamento não corrente</t>
  </si>
  <si>
    <t>Alterações aos Encargos Financeiros</t>
  </si>
  <si>
    <t>Juros do financiamento</t>
  </si>
  <si>
    <t>N+2 (Atual)</t>
  </si>
  <si>
    <t>DADOS CONTABILÍSTICOS</t>
  </si>
  <si>
    <t>Comentário pessoal</t>
  </si>
  <si>
    <t>Médio ou Bom</t>
  </si>
  <si>
    <t>RÚBRICAS</t>
  </si>
  <si>
    <t>TRIBUTAÇÃO (Demonstração de Resultados)</t>
  </si>
  <si>
    <t>Nome da Empresa</t>
  </si>
  <si>
    <t>Relatório Performance Financeira e Análise de Investimento</t>
  </si>
  <si>
    <t>Objetivo do Relatório</t>
  </si>
  <si>
    <t>Data da Análise</t>
  </si>
  <si>
    <t>Descrição</t>
  </si>
  <si>
    <t>Setor de Atividade da Empresa</t>
  </si>
  <si>
    <t>Empresa 1</t>
  </si>
  <si>
    <t>Total do Ativo</t>
  </si>
  <si>
    <t>Total do Passivo</t>
  </si>
  <si>
    <t>Faturação (vendas)</t>
  </si>
  <si>
    <t>CMCMV</t>
  </si>
  <si>
    <t>EBITDA</t>
  </si>
  <si>
    <t>EBIT</t>
  </si>
  <si>
    <t>Resultado antes de impostos</t>
  </si>
  <si>
    <t>Imposto sobre o rendimento</t>
  </si>
  <si>
    <t>Dados Contabilísticos para N+2 (atual)</t>
  </si>
  <si>
    <t>Indicar o valor do IMT pago na compra.
Pode variar consoante:
• Existência de isenção;
• Tipo de imóvel (habitacional, comercial ou industrial).
Para simulações, podes usar um simulador online de IMT.</t>
  </si>
  <si>
    <t>Cobertura de Gastos de Financiamento</t>
  </si>
  <si>
    <t>Análise da Performance Financeira</t>
  </si>
  <si>
    <t xml:space="preserve">Liquidez Geral </t>
  </si>
  <si>
    <t>Rotação do Ativo</t>
  </si>
  <si>
    <t>Grau de Alavanca Financeira</t>
  </si>
  <si>
    <t>Detalhes do investimento</t>
  </si>
  <si>
    <t>PARA USO PRÓPRIO</t>
  </si>
  <si>
    <t>Escritório</t>
  </si>
  <si>
    <t>Finalidade</t>
  </si>
  <si>
    <t>Empresa tem atividade aberta?</t>
  </si>
  <si>
    <t>Rúbrica contabilística para o imóvel</t>
  </si>
  <si>
    <t>Valor de Aquisição</t>
  </si>
  <si>
    <t>Investido em capitais próprios</t>
  </si>
  <si>
    <t>PREJUIZO FINAL DEPOIS DE IMPOSTOS</t>
  </si>
  <si>
    <t xml:space="preserve">Cashflow líquido anual antes de impostos </t>
  </si>
  <si>
    <t>Lucro líquido antes de impostos</t>
  </si>
  <si>
    <t>Não está contabilizado os períodos de desocupação que possam ser estimados. Isso vai variar em função da localização, do imóvel, entre outros fatores.</t>
  </si>
  <si>
    <t>RENTABILIDADE FINAL</t>
  </si>
  <si>
    <t>Sim</t>
  </si>
  <si>
    <t>Rentabilidade final</t>
  </si>
  <si>
    <t>Resultado líquido do período antes do investimento</t>
  </si>
  <si>
    <t>Resultado líquido do período depois do investimento</t>
  </si>
  <si>
    <t>Impostos a pagar sobre o investimento</t>
  </si>
  <si>
    <t>IMPOSTOS A PAGAR SOBRE O INVESTIMENTO</t>
  </si>
  <si>
    <t>Impacto do investimento na performance financeira da empresa</t>
  </si>
  <si>
    <t>Comparação entre investir como empresa e investir a título pessoal</t>
  </si>
  <si>
    <t xml:space="preserve">Atual </t>
  </si>
  <si>
    <t>Pós-Investimento</t>
  </si>
  <si>
    <t>Verificação Ativo = Passivo + Capital Próprio</t>
  </si>
  <si>
    <t>Compensa comprar imóvel para uso próprio?</t>
  </si>
  <si>
    <t>Rácio Preço/Renda</t>
  </si>
  <si>
    <t>Renda mensal atual sem investimento</t>
  </si>
  <si>
    <t>Decisão</t>
  </si>
  <si>
    <t>Valorização do imóvel com o tempo</t>
  </si>
  <si>
    <t>Fluxo de caixa depois da compra</t>
  </si>
  <si>
    <t xml:space="preserve">Em função do tempo, as nossas rentabilidades perdem valor </t>
  </si>
  <si>
    <t>Taxa de inflação</t>
  </si>
  <si>
    <t xml:space="preserve">Rendimento anual efetivo </t>
  </si>
  <si>
    <t xml:space="preserve">Em função do tempo, o valor da casa aumenta </t>
  </si>
  <si>
    <t>Taxa de apreciação do imóvel</t>
  </si>
  <si>
    <t xml:space="preserve">Anos da compra para a venda </t>
  </si>
  <si>
    <t>Valor de venda sem impostos</t>
  </si>
  <si>
    <t>Para o cenário de uso próprio, terá de verificar com o contabilista a forma como o teu balanço irá alterar relativamente ao pagamento de uma renda do espaço onde opera a tua empresa. Tendo em conta que, neste cenário, estás a considerar comprar o imóvel onde operas, o teu balanço e demonstração de resultados vai alterar fruto desta alteração, pois acabas por ter outras responsabildiade. Trocas a tua responsabilidade com o senhorio com a responsabilidade de ser proprietário.</t>
  </si>
  <si>
    <t>Arrendamento</t>
  </si>
  <si>
    <t xml:space="preserve">Objetivo do excel </t>
  </si>
  <si>
    <t>Este ficheiro foi desenvolvido para ajudar gestores e investidores a analisarem a saúde financeira da sua empresa e avaliarem a capacidade de investir, com foco especial em investimentos imobiliários. Serve como ferramenta prática e orientadora para tomada de decisão com base em dados financeiros reais.</t>
  </si>
  <si>
    <t>A quem se destina?</t>
  </si>
  <si>
    <t>Pequenas e médias empresas (PMEs) com atividade regular.
Empresários em nome individual em regime de contabilidade organizada.
Gestores e consultores que pretendam diagnosticar rapidamente a performance de uma empresa.
Investidores que avaliam a sustentabilidade financeira antes de tomar decisões de expansão ou investimento.</t>
  </si>
  <si>
    <t>Estrutura do ficheiro</t>
  </si>
  <si>
    <t>Balanço – Introdução dos principais elementos patrimoniais da empresa: ativos, passivos e capitais próprios.
Demonstração de Resultados – Registo das receitas, custos e resultados operacionais do exercício.
Performance – Cálculo automático de indicadores financeiros como:
Liquidez
Autonomia financeira
Rentabilidade
Cobertura de juros
Entre outros
Cada indicador inclui interpretação automática e recomendações práticas.
Investimento Imobiliário – Simulação da rentabilidade de um investimento, com base em inputs como custo de aquisição, rendimento expectável, despesas, etc.
Relatório – Geração automática de um relatório descritivo pronto a imprimir ou enviar.</t>
  </si>
  <si>
    <t>Considerações importantes</t>
  </si>
  <si>
    <t>Link para vídeo</t>
  </si>
  <si>
    <t>Rácio de Endividamento</t>
  </si>
  <si>
    <t>Os campos a amarelo são de preenchimento obrigatório.
As fórmulas estão protegidas para evitar alterações acidentais. - para desproteger cada folha a palavra passe é janua
Todos os valores devem ser inseridos em euros (€).
Para melhores resultados, use dados do último exercício completo.
Os dados introduzidos não são transmitidos a ninguém – ficam apenas neste ficheiro no teu computador.
O ficheiro é compatível com versões recentes do Microsoft Excel.</t>
  </si>
  <si>
    <t>Questionário</t>
  </si>
  <si>
    <t xml:space="preserve">O teu feedback é muito importante. Pedia apenas 3 minutos do teu tempo para responder a poucas perguntas sobre este ebook e sobre as ferramentas e funcionalidades deste pack. </t>
  </si>
  <si>
    <t>https://www.janua.pt/questionariopack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</si>
</sst>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0.00&quot;x&quot;"/>
    <numFmt numFmtId="165" formatCode="00&quot; anos&quot;"/>
    <numFmt numFmtId="166" formatCode="#,##0.00\ &quot;€&quot;"/>
    <numFmt numFmtId="167" formatCode="&quot;Maior que &quot;0.00%"/>
    <numFmt numFmtId="168" formatCode="&quot;Maior que &quot;0.00\x"/>
    <numFmt numFmtId="169" formatCode="&quot;Menor que &quot;0.00%"/>
    <numFmt numFmtId="170" formatCode="0&quot; anos&quot;"/>
  </numFmts>
  <fonts count="4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DAD5D2"/>
      <name val="Calibri"/>
      <family val="2"/>
      <scheme val="minor"/>
    </font>
    <font>
      <b/>
      <sz val="12"/>
      <color rgb="FF0D2037"/>
      <name val="Calibri"/>
      <family val="2"/>
      <scheme val="minor"/>
    </font>
    <font>
      <sz val="12"/>
      <color rgb="FF0D2037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rgb="FF0D2037"/>
      <name val="Calibri"/>
      <family val="2"/>
      <scheme val="minor"/>
    </font>
    <font>
      <b/>
      <sz val="11"/>
      <color rgb="FFDAD5D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DAD5D2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0"/>
      <name val="Calibri"/>
      <family val="2"/>
      <scheme val="minor"/>
    </font>
    <font>
      <b/>
      <sz val="18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0"/>
      <color theme="1"/>
      <name val="Montserrat"/>
    </font>
    <font>
      <sz val="9"/>
      <color theme="1"/>
      <name val="Montserrat"/>
    </font>
    <font>
      <b/>
      <sz val="10"/>
      <color theme="1"/>
      <name val="Montserrat"/>
    </font>
    <font>
      <b/>
      <sz val="14"/>
      <color theme="1"/>
      <name val="Montserrat"/>
    </font>
    <font>
      <b/>
      <sz val="10"/>
      <name val="Montserrat"/>
    </font>
    <font>
      <b/>
      <sz val="9"/>
      <name val="Montserrat"/>
    </font>
    <font>
      <sz val="9"/>
      <name val="Montserrat"/>
    </font>
    <font>
      <sz val="8"/>
      <color theme="1"/>
      <name val="Montserrat"/>
    </font>
    <font>
      <b/>
      <sz val="9"/>
      <color theme="1"/>
      <name val="Montserrat"/>
    </font>
    <font>
      <sz val="18"/>
      <color rgb="FF000000"/>
      <name val="Calibri"/>
      <family val="2"/>
    </font>
    <font>
      <sz val="8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6"/>
      <color theme="1"/>
      <name val="Montserrat"/>
    </font>
    <font>
      <sz val="11"/>
      <color theme="1"/>
      <name val="Montserrat"/>
    </font>
    <font>
      <sz val="15"/>
      <color theme="1"/>
      <name val="Montserrat"/>
    </font>
    <font>
      <sz val="11"/>
      <color theme="0"/>
      <name val="Montserrat"/>
    </font>
    <font>
      <u/>
      <sz val="11"/>
      <color theme="10"/>
      <name val="Calibri"/>
      <family val="2"/>
      <scheme val="minor"/>
    </font>
    <font>
      <u/>
      <sz val="11"/>
      <color theme="10"/>
      <name val="Montserrat"/>
    </font>
  </fonts>
  <fills count="7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D203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D966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7" fillId="0" borderId="0" applyNumberFormat="0" applyFill="0" applyBorder="0" applyAlignment="0" applyProtection="0"/>
  </cellStyleXfs>
  <cellXfs count="579">
    <xf numFmtId="0" fontId="0" fillId="0" borderId="0" xfId="0"/>
    <xf numFmtId="0" fontId="3" fillId="0" borderId="0" xfId="0" applyFont="1" applyAlignment="1">
      <alignment horizontal="left" vertical="top"/>
    </xf>
    <xf numFmtId="0" fontId="3" fillId="0" borderId="0" xfId="0" applyFont="1"/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5" fillId="3" borderId="6" xfId="0" applyFont="1" applyFill="1" applyBorder="1"/>
    <xf numFmtId="0" fontId="5" fillId="3" borderId="9" xfId="0" applyFont="1" applyFill="1" applyBorder="1"/>
    <xf numFmtId="0" fontId="9" fillId="0" borderId="0" xfId="0" applyFont="1"/>
    <xf numFmtId="0" fontId="0" fillId="0" borderId="0" xfId="0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13" fillId="3" borderId="0" xfId="0" applyFont="1" applyFill="1"/>
    <xf numFmtId="0" fontId="17" fillId="3" borderId="0" xfId="0" applyFont="1" applyFill="1"/>
    <xf numFmtId="0" fontId="13" fillId="3" borderId="1" xfId="0" applyFont="1" applyFill="1" applyBorder="1"/>
    <xf numFmtId="0" fontId="13" fillId="3" borderId="46" xfId="0" applyFont="1" applyFill="1" applyBorder="1"/>
    <xf numFmtId="0" fontId="13" fillId="3" borderId="38" xfId="0" applyFont="1" applyFill="1" applyBorder="1"/>
    <xf numFmtId="0" fontId="17" fillId="3" borderId="2" xfId="0" applyFont="1" applyFill="1" applyBorder="1"/>
    <xf numFmtId="0" fontId="17" fillId="3" borderId="4" xfId="0" applyFont="1" applyFill="1" applyBorder="1"/>
    <xf numFmtId="0" fontId="13" fillId="3" borderId="54" xfId="0" applyFont="1" applyFill="1" applyBorder="1"/>
    <xf numFmtId="0" fontId="10" fillId="3" borderId="2" xfId="0" applyFont="1" applyFill="1" applyBorder="1"/>
    <xf numFmtId="0" fontId="10" fillId="3" borderId="31" xfId="0" applyFont="1" applyFill="1" applyBorder="1"/>
    <xf numFmtId="0" fontId="19" fillId="3" borderId="0" xfId="0" applyFont="1" applyFill="1" applyAlignment="1">
      <alignment vertical="top" wrapText="1"/>
    </xf>
    <xf numFmtId="44" fontId="13" fillId="3" borderId="6" xfId="1" applyFont="1" applyFill="1" applyBorder="1" applyAlignment="1">
      <alignment horizontal="right" vertical="center"/>
    </xf>
    <xf numFmtId="44" fontId="13" fillId="3" borderId="44" xfId="1" applyFont="1" applyFill="1" applyBorder="1" applyAlignment="1">
      <alignment horizontal="right" vertical="center"/>
    </xf>
    <xf numFmtId="0" fontId="10" fillId="3" borderId="4" xfId="0" applyFont="1" applyFill="1" applyBorder="1" applyAlignment="1">
      <alignment horizontal="right"/>
    </xf>
    <xf numFmtId="166" fontId="13" fillId="3" borderId="6" xfId="0" applyNumberFormat="1" applyFont="1" applyFill="1" applyBorder="1" applyAlignment="1">
      <alignment horizontal="right" vertical="center"/>
    </xf>
    <xf numFmtId="166" fontId="13" fillId="3" borderId="9" xfId="0" applyNumberFormat="1" applyFont="1" applyFill="1" applyBorder="1" applyAlignment="1">
      <alignment horizontal="right" vertical="center"/>
    </xf>
    <xf numFmtId="10" fontId="13" fillId="3" borderId="9" xfId="2" applyNumberFormat="1" applyFont="1" applyFill="1" applyBorder="1" applyAlignment="1">
      <alignment horizontal="right" vertical="center"/>
    </xf>
    <xf numFmtId="0" fontId="10" fillId="3" borderId="32" xfId="0" applyFont="1" applyFill="1" applyBorder="1" applyAlignment="1">
      <alignment horizontal="right"/>
    </xf>
    <xf numFmtId="166" fontId="13" fillId="3" borderId="4" xfId="0" applyNumberFormat="1" applyFont="1" applyFill="1" applyBorder="1" applyAlignment="1">
      <alignment horizontal="right" vertical="center"/>
    </xf>
    <xf numFmtId="166" fontId="13" fillId="3" borderId="12" xfId="0" applyNumberFormat="1" applyFont="1" applyFill="1" applyBorder="1" applyAlignment="1">
      <alignment horizontal="right" vertical="center"/>
    </xf>
    <xf numFmtId="10" fontId="13" fillId="3" borderId="6" xfId="2" applyNumberFormat="1" applyFont="1" applyFill="1" applyBorder="1" applyAlignment="1">
      <alignment horizontal="right" vertical="center"/>
    </xf>
    <xf numFmtId="166" fontId="12" fillId="3" borderId="9" xfId="0" applyNumberFormat="1" applyFont="1" applyFill="1" applyBorder="1" applyAlignment="1">
      <alignment horizontal="right" vertical="center"/>
    </xf>
    <xf numFmtId="44" fontId="13" fillId="3" borderId="9" xfId="1" applyFont="1" applyFill="1" applyBorder="1" applyAlignment="1">
      <alignment horizontal="right"/>
    </xf>
    <xf numFmtId="10" fontId="16" fillId="3" borderId="8" xfId="2" applyNumberFormat="1" applyFont="1" applyFill="1" applyBorder="1" applyAlignment="1">
      <alignment horizontal="left"/>
    </xf>
    <xf numFmtId="0" fontId="19" fillId="3" borderId="63" xfId="0" applyFont="1" applyFill="1" applyBorder="1" applyAlignment="1">
      <alignment vertical="top" wrapText="1"/>
    </xf>
    <xf numFmtId="0" fontId="12" fillId="3" borderId="11" xfId="0" applyFont="1" applyFill="1" applyBorder="1" applyAlignment="1">
      <alignment horizontal="center"/>
    </xf>
    <xf numFmtId="0" fontId="13" fillId="3" borderId="57" xfId="0" applyFont="1" applyFill="1" applyBorder="1" applyAlignment="1">
      <alignment vertical="center"/>
    </xf>
    <xf numFmtId="44" fontId="12" fillId="3" borderId="65" xfId="0" applyNumberFormat="1" applyFont="1" applyFill="1" applyBorder="1" applyAlignment="1">
      <alignment vertical="center"/>
    </xf>
    <xf numFmtId="166" fontId="12" fillId="3" borderId="17" xfId="0" applyNumberFormat="1" applyFont="1" applyFill="1" applyBorder="1" applyAlignment="1">
      <alignment vertical="center"/>
    </xf>
    <xf numFmtId="166" fontId="12" fillId="3" borderId="65" xfId="0" applyNumberFormat="1" applyFont="1" applyFill="1" applyBorder="1" applyAlignment="1">
      <alignment vertical="center"/>
    </xf>
    <xf numFmtId="10" fontId="13" fillId="3" borderId="46" xfId="2" applyNumberFormat="1" applyFont="1" applyFill="1" applyBorder="1" applyAlignment="1">
      <alignment horizontal="center" vertical="center"/>
    </xf>
    <xf numFmtId="10" fontId="13" fillId="3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0" fontId="13" fillId="3" borderId="1" xfId="2" applyNumberFormat="1" applyFont="1" applyFill="1" applyBorder="1" applyAlignment="1">
      <alignment horizontal="center"/>
    </xf>
    <xf numFmtId="10" fontId="13" fillId="3" borderId="1" xfId="0" applyNumberFormat="1" applyFont="1" applyFill="1" applyBorder="1" applyAlignment="1">
      <alignment horizontal="center"/>
    </xf>
    <xf numFmtId="164" fontId="13" fillId="3" borderId="1" xfId="0" applyNumberFormat="1" applyFont="1" applyFill="1" applyBorder="1" applyAlignment="1">
      <alignment horizontal="center"/>
    </xf>
    <xf numFmtId="10" fontId="13" fillId="3" borderId="47" xfId="0" applyNumberFormat="1" applyFont="1" applyFill="1" applyBorder="1" applyAlignment="1">
      <alignment horizontal="center"/>
    </xf>
    <xf numFmtId="10" fontId="13" fillId="3" borderId="1" xfId="0" applyNumberFormat="1" applyFont="1" applyFill="1" applyBorder="1" applyAlignment="1">
      <alignment horizontal="center" vertical="center"/>
    </xf>
    <xf numFmtId="164" fontId="13" fillId="3" borderId="1" xfId="0" applyNumberFormat="1" applyFont="1" applyFill="1" applyBorder="1" applyAlignment="1">
      <alignment horizontal="center" vertical="center"/>
    </xf>
    <xf numFmtId="164" fontId="13" fillId="3" borderId="46" xfId="0" applyNumberFormat="1" applyFont="1" applyFill="1" applyBorder="1" applyAlignment="1">
      <alignment horizontal="center" vertical="center"/>
    </xf>
    <xf numFmtId="10" fontId="13" fillId="3" borderId="47" xfId="0" applyNumberFormat="1" applyFont="1" applyFill="1" applyBorder="1" applyAlignment="1">
      <alignment horizontal="center" vertical="center"/>
    </xf>
    <xf numFmtId="10" fontId="13" fillId="3" borderId="56" xfId="2" applyNumberFormat="1" applyFont="1" applyFill="1" applyBorder="1" applyAlignment="1">
      <alignment horizontal="center" vertical="center"/>
    </xf>
    <xf numFmtId="0" fontId="26" fillId="3" borderId="11" xfId="0" applyFont="1" applyFill="1" applyBorder="1" applyAlignment="1">
      <alignment horizontal="center"/>
    </xf>
    <xf numFmtId="0" fontId="26" fillId="3" borderId="57" xfId="0" applyFont="1" applyFill="1" applyBorder="1" applyAlignment="1">
      <alignment horizontal="center"/>
    </xf>
    <xf numFmtId="0" fontId="6" fillId="0" borderId="7" xfId="0" applyFont="1" applyBorder="1" applyAlignment="1">
      <alignment horizontal="left"/>
    </xf>
    <xf numFmtId="44" fontId="3" fillId="0" borderId="3" xfId="1" applyFont="1" applyFill="1" applyBorder="1"/>
    <xf numFmtId="44" fontId="3" fillId="0" borderId="4" xfId="1" applyFont="1" applyFill="1" applyBorder="1"/>
    <xf numFmtId="44" fontId="3" fillId="0" borderId="1" xfId="1" applyFont="1" applyFill="1" applyBorder="1"/>
    <xf numFmtId="44" fontId="3" fillId="0" borderId="8" xfId="1" applyFont="1" applyFill="1" applyBorder="1"/>
    <xf numFmtId="44" fontId="3" fillId="0" borderId="11" xfId="1" applyFont="1" applyFill="1" applyBorder="1"/>
    <xf numFmtId="0" fontId="16" fillId="3" borderId="22" xfId="0" applyFont="1" applyFill="1" applyBorder="1" applyAlignment="1">
      <alignment horizontal="center"/>
    </xf>
    <xf numFmtId="0" fontId="16" fillId="3" borderId="23" xfId="0" applyFont="1" applyFill="1" applyBorder="1" applyAlignment="1">
      <alignment horizontal="center"/>
    </xf>
    <xf numFmtId="0" fontId="6" fillId="0" borderId="33" xfId="0" applyFont="1" applyBorder="1" applyAlignment="1">
      <alignment horizontal="right"/>
    </xf>
    <xf numFmtId="0" fontId="6" fillId="0" borderId="34" xfId="0" applyFont="1" applyBorder="1" applyAlignment="1">
      <alignment horizontal="right"/>
    </xf>
    <xf numFmtId="0" fontId="16" fillId="3" borderId="31" xfId="0" applyFont="1" applyFill="1" applyBorder="1" applyAlignment="1">
      <alignment horizontal="center"/>
    </xf>
    <xf numFmtId="0" fontId="16" fillId="3" borderId="26" xfId="0" applyFont="1" applyFill="1" applyBorder="1" applyAlignment="1">
      <alignment horizontal="center"/>
    </xf>
    <xf numFmtId="0" fontId="16" fillId="3" borderId="32" xfId="0" applyFont="1" applyFill="1" applyBorder="1" applyAlignment="1">
      <alignment horizontal="center"/>
    </xf>
    <xf numFmtId="44" fontId="6" fillId="0" borderId="2" xfId="1" applyFont="1" applyFill="1" applyBorder="1"/>
    <xf numFmtId="44" fontId="6" fillId="0" borderId="3" xfId="1" applyFont="1" applyFill="1" applyBorder="1"/>
    <xf numFmtId="44" fontId="6" fillId="0" borderId="4" xfId="1" applyFont="1" applyFill="1" applyBorder="1"/>
    <xf numFmtId="44" fontId="7" fillId="0" borderId="5" xfId="1" applyFont="1" applyFill="1" applyBorder="1"/>
    <xf numFmtId="44" fontId="7" fillId="0" borderId="1" xfId="1" applyFont="1" applyFill="1" applyBorder="1"/>
    <xf numFmtId="44" fontId="7" fillId="0" borderId="6" xfId="1" applyFont="1" applyFill="1" applyBorder="1"/>
    <xf numFmtId="44" fontId="7" fillId="0" borderId="7" xfId="1" applyFont="1" applyFill="1" applyBorder="1"/>
    <xf numFmtId="44" fontId="7" fillId="0" borderId="8" xfId="1" applyFont="1" applyFill="1" applyBorder="1"/>
    <xf numFmtId="44" fontId="7" fillId="0" borderId="9" xfId="1" applyFont="1" applyFill="1" applyBorder="1"/>
    <xf numFmtId="44" fontId="6" fillId="0" borderId="10" xfId="1" applyFont="1" applyFill="1" applyBorder="1"/>
    <xf numFmtId="44" fontId="6" fillId="0" borderId="11" xfId="1" applyFont="1" applyFill="1" applyBorder="1"/>
    <xf numFmtId="44" fontId="6" fillId="0" borderId="12" xfId="1" applyFont="1" applyFill="1" applyBorder="1"/>
    <xf numFmtId="44" fontId="7" fillId="0" borderId="43" xfId="1" applyFont="1" applyFill="1" applyBorder="1"/>
    <xf numFmtId="44" fontId="7" fillId="0" borderId="47" xfId="1" applyFont="1" applyFill="1" applyBorder="1"/>
    <xf numFmtId="44" fontId="7" fillId="0" borderId="44" xfId="1" applyFont="1" applyFill="1" applyBorder="1"/>
    <xf numFmtId="44" fontId="6" fillId="0" borderId="25" xfId="1" applyFont="1" applyFill="1" applyBorder="1"/>
    <xf numFmtId="44" fontId="6" fillId="0" borderId="17" xfId="1" applyFont="1" applyFill="1" applyBorder="1"/>
    <xf numFmtId="44" fontId="6" fillId="0" borderId="1" xfId="1" applyFont="1" applyFill="1" applyBorder="1"/>
    <xf numFmtId="44" fontId="6" fillId="0" borderId="6" xfId="1" applyFont="1" applyFill="1" applyBorder="1"/>
    <xf numFmtId="44" fontId="6" fillId="0" borderId="48" xfId="1" applyFont="1" applyFill="1" applyBorder="1"/>
    <xf numFmtId="44" fontId="6" fillId="0" borderId="47" xfId="1" applyFont="1" applyFill="1" applyBorder="1"/>
    <xf numFmtId="44" fontId="6" fillId="0" borderId="44" xfId="1" applyFont="1" applyFill="1" applyBorder="1"/>
    <xf numFmtId="44" fontId="7" fillId="0" borderId="25" xfId="1" applyFont="1" applyFill="1" applyBorder="1"/>
    <xf numFmtId="44" fontId="7" fillId="0" borderId="3" xfId="1" applyFont="1" applyFill="1" applyBorder="1"/>
    <xf numFmtId="44" fontId="7" fillId="0" borderId="4" xfId="1" applyFont="1" applyFill="1" applyBorder="1"/>
    <xf numFmtId="44" fontId="7" fillId="0" borderId="17" xfId="1" applyFont="1" applyFill="1" applyBorder="1"/>
    <xf numFmtId="0" fontId="6" fillId="0" borderId="9" xfId="0" applyFont="1" applyBorder="1" applyAlignment="1">
      <alignment horizontal="left"/>
    </xf>
    <xf numFmtId="44" fontId="7" fillId="0" borderId="19" xfId="1" applyFont="1" applyFill="1" applyBorder="1"/>
    <xf numFmtId="44" fontId="12" fillId="3" borderId="51" xfId="1" applyFont="1" applyFill="1" applyBorder="1" applyAlignment="1">
      <alignment horizontal="center"/>
    </xf>
    <xf numFmtId="44" fontId="12" fillId="3" borderId="15" xfId="1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12" fillId="3" borderId="14" xfId="0" applyFont="1" applyFill="1" applyBorder="1" applyAlignment="1">
      <alignment horizontal="center"/>
    </xf>
    <xf numFmtId="0" fontId="12" fillId="3" borderId="67" xfId="0" applyFont="1" applyFill="1" applyBorder="1" applyAlignment="1">
      <alignment horizontal="center"/>
    </xf>
    <xf numFmtId="44" fontId="9" fillId="0" borderId="1" xfId="1" applyFont="1" applyFill="1" applyBorder="1"/>
    <xf numFmtId="0" fontId="5" fillId="0" borderId="6" xfId="0" applyFont="1" applyBorder="1"/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43" xfId="0" applyBorder="1"/>
    <xf numFmtId="0" fontId="0" fillId="0" borderId="25" xfId="0" applyBorder="1"/>
    <xf numFmtId="0" fontId="0" fillId="0" borderId="10" xfId="0" applyBorder="1"/>
    <xf numFmtId="0" fontId="11" fillId="0" borderId="7" xfId="0" applyFont="1" applyBorder="1"/>
    <xf numFmtId="0" fontId="11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166" fontId="0" fillId="0" borderId="1" xfId="0" applyNumberFormat="1" applyBorder="1"/>
    <xf numFmtId="166" fontId="0" fillId="0" borderId="6" xfId="0" applyNumberFormat="1" applyBorder="1"/>
    <xf numFmtId="0" fontId="11" fillId="0" borderId="1" xfId="0" applyFont="1" applyBorder="1" applyAlignment="1">
      <alignment horizontal="left" vertical="center"/>
    </xf>
    <xf numFmtId="44" fontId="0" fillId="0" borderId="11" xfId="0" applyNumberFormat="1" applyBorder="1" applyAlignment="1">
      <alignment horizontal="center" vertical="center"/>
    </xf>
    <xf numFmtId="166" fontId="0" fillId="0" borderId="11" xfId="0" applyNumberFormat="1" applyBorder="1" applyAlignment="1">
      <alignment horizontal="right" vertical="center"/>
    </xf>
    <xf numFmtId="0" fontId="17" fillId="3" borderId="25" xfId="0" applyFont="1" applyFill="1" applyBorder="1" applyAlignment="1">
      <alignment horizontal="center"/>
    </xf>
    <xf numFmtId="0" fontId="17" fillId="3" borderId="3" xfId="0" applyFont="1" applyFill="1" applyBorder="1" applyAlignment="1">
      <alignment horizontal="center"/>
    </xf>
    <xf numFmtId="0" fontId="17" fillId="3" borderId="4" xfId="0" applyFont="1" applyFill="1" applyBorder="1" applyAlignment="1">
      <alignment horizontal="center"/>
    </xf>
    <xf numFmtId="10" fontId="9" fillId="0" borderId="1" xfId="2" applyNumberFormat="1" applyFont="1" applyFill="1" applyBorder="1"/>
    <xf numFmtId="2" fontId="9" fillId="0" borderId="1" xfId="2" applyNumberFormat="1" applyFont="1" applyFill="1" applyBorder="1"/>
    <xf numFmtId="9" fontId="9" fillId="0" borderId="1" xfId="2" applyFont="1" applyFill="1" applyBorder="1" applyAlignment="1">
      <alignment horizontal="right"/>
    </xf>
    <xf numFmtId="44" fontId="9" fillId="0" borderId="1" xfId="2" applyNumberFormat="1" applyFont="1" applyFill="1" applyBorder="1"/>
    <xf numFmtId="9" fontId="9" fillId="0" borderId="1" xfId="2" applyFont="1" applyFill="1" applyBorder="1"/>
    <xf numFmtId="164" fontId="9" fillId="0" borderId="1" xfId="2" applyNumberFormat="1" applyFont="1" applyFill="1" applyBorder="1"/>
    <xf numFmtId="2" fontId="9" fillId="0" borderId="8" xfId="2" applyNumberFormat="1" applyFont="1" applyFill="1" applyBorder="1"/>
    <xf numFmtId="0" fontId="13" fillId="3" borderId="17" xfId="0" applyFont="1" applyFill="1" applyBorder="1"/>
    <xf numFmtId="0" fontId="12" fillId="3" borderId="1" xfId="0" applyFont="1" applyFill="1" applyBorder="1" applyAlignment="1">
      <alignment horizontal="center"/>
    </xf>
    <xf numFmtId="0" fontId="12" fillId="3" borderId="1" xfId="0" applyFont="1" applyFill="1" applyBorder="1"/>
    <xf numFmtId="0" fontId="13" fillId="3" borderId="5" xfId="0" applyFont="1" applyFill="1" applyBorder="1"/>
    <xf numFmtId="0" fontId="12" fillId="3" borderId="1" xfId="0" applyFont="1" applyFill="1" applyBorder="1" applyAlignment="1">
      <alignment horizontal="left"/>
    </xf>
    <xf numFmtId="0" fontId="13" fillId="3" borderId="7" xfId="0" applyFont="1" applyFill="1" applyBorder="1"/>
    <xf numFmtId="0" fontId="13" fillId="3" borderId="8" xfId="0" applyFont="1" applyFill="1" applyBorder="1"/>
    <xf numFmtId="0" fontId="12" fillId="3" borderId="10" xfId="0" applyFont="1" applyFill="1" applyBorder="1" applyAlignment="1">
      <alignment horizontal="center"/>
    </xf>
    <xf numFmtId="0" fontId="16" fillId="3" borderId="5" xfId="0" applyFont="1" applyFill="1" applyBorder="1"/>
    <xf numFmtId="0" fontId="16" fillId="3" borderId="7" xfId="0" applyFont="1" applyFill="1" applyBorder="1"/>
    <xf numFmtId="0" fontId="17" fillId="3" borderId="51" xfId="0" applyFont="1" applyFill="1" applyBorder="1" applyAlignment="1">
      <alignment horizontal="center"/>
    </xf>
    <xf numFmtId="0" fontId="26" fillId="3" borderId="10" xfId="0" applyFont="1" applyFill="1" applyBorder="1" applyAlignment="1">
      <alignment horizontal="center"/>
    </xf>
    <xf numFmtId="0" fontId="14" fillId="3" borderId="5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7" fillId="3" borderId="51" xfId="0" applyFont="1" applyFill="1" applyBorder="1" applyAlignment="1">
      <alignment horizontal="center" vertical="center"/>
    </xf>
    <xf numFmtId="0" fontId="30" fillId="0" borderId="0" xfId="0" applyFont="1"/>
    <xf numFmtId="14" fontId="30" fillId="5" borderId="51" xfId="0" applyNumberFormat="1" applyFont="1" applyFill="1" applyBorder="1" applyAlignment="1">
      <alignment horizontal="left"/>
    </xf>
    <xf numFmtId="0" fontId="31" fillId="0" borderId="0" xfId="0" applyFont="1"/>
    <xf numFmtId="0" fontId="17" fillId="3" borderId="24" xfId="0" applyFont="1" applyFill="1" applyBorder="1" applyAlignment="1">
      <alignment horizontal="center"/>
    </xf>
    <xf numFmtId="0" fontId="12" fillId="3" borderId="46" xfId="0" applyFont="1" applyFill="1" applyBorder="1" applyAlignment="1">
      <alignment horizontal="center" vertical="center"/>
    </xf>
    <xf numFmtId="0" fontId="11" fillId="0" borderId="46" xfId="0" applyFont="1" applyBorder="1" applyAlignment="1">
      <alignment horizontal="left" vertical="center"/>
    </xf>
    <xf numFmtId="0" fontId="11" fillId="0" borderId="46" xfId="0" applyFont="1" applyBorder="1" applyAlignment="1">
      <alignment vertical="center"/>
    </xf>
    <xf numFmtId="0" fontId="0" fillId="3" borderId="55" xfId="0" applyFill="1" applyBorder="1"/>
    <xf numFmtId="0" fontId="10" fillId="3" borderId="58" xfId="0" applyFont="1" applyFill="1" applyBorder="1" applyAlignment="1">
      <alignment horizontal="left"/>
    </xf>
    <xf numFmtId="0" fontId="10" fillId="3" borderId="53" xfId="0" applyFont="1" applyFill="1" applyBorder="1" applyAlignment="1">
      <alignment horizontal="left"/>
    </xf>
    <xf numFmtId="166" fontId="10" fillId="3" borderId="4" xfId="0" applyNumberFormat="1" applyFont="1" applyFill="1" applyBorder="1" applyAlignment="1">
      <alignment horizontal="right"/>
    </xf>
    <xf numFmtId="0" fontId="17" fillId="3" borderId="0" xfId="0" applyFont="1" applyFill="1" applyAlignment="1">
      <alignment horizontal="center"/>
    </xf>
    <xf numFmtId="44" fontId="30" fillId="5" borderId="51" xfId="1" applyFont="1" applyFill="1" applyBorder="1" applyAlignment="1">
      <alignment horizontal="left"/>
    </xf>
    <xf numFmtId="44" fontId="30" fillId="5" borderId="51" xfId="1" quotePrefix="1" applyFont="1" applyFill="1" applyBorder="1" applyAlignment="1">
      <alignment horizontal="left"/>
    </xf>
    <xf numFmtId="10" fontId="12" fillId="3" borderId="9" xfId="2" applyNumberFormat="1" applyFont="1" applyFill="1" applyBorder="1" applyAlignment="1">
      <alignment horizontal="right" vertical="center"/>
    </xf>
    <xf numFmtId="0" fontId="9" fillId="5" borderId="10" xfId="0" applyFont="1" applyFill="1" applyBorder="1"/>
    <xf numFmtId="0" fontId="9" fillId="5" borderId="5" xfId="0" applyFont="1" applyFill="1" applyBorder="1"/>
    <xf numFmtId="44" fontId="42" fillId="3" borderId="0" xfId="1" applyFont="1" applyFill="1" applyBorder="1" applyAlignment="1">
      <alignment horizontal="right"/>
    </xf>
    <xf numFmtId="0" fontId="9" fillId="5" borderId="43" xfId="0" applyFont="1" applyFill="1" applyBorder="1" applyAlignment="1">
      <alignment vertical="center"/>
    </xf>
    <xf numFmtId="10" fontId="42" fillId="3" borderId="0" xfId="2" applyNumberFormat="1" applyFont="1" applyFill="1" applyBorder="1" applyAlignment="1">
      <alignment horizontal="right"/>
    </xf>
    <xf numFmtId="8" fontId="42" fillId="3" borderId="0" xfId="1" applyNumberFormat="1" applyFont="1" applyFill="1" applyBorder="1" applyAlignment="1">
      <alignment horizontal="right"/>
    </xf>
    <xf numFmtId="0" fontId="9" fillId="5" borderId="5" xfId="0" applyFont="1" applyFill="1" applyBorder="1" applyAlignment="1">
      <alignment vertical="center"/>
    </xf>
    <xf numFmtId="0" fontId="9" fillId="5" borderId="7" xfId="0" applyFont="1" applyFill="1" applyBorder="1" applyAlignment="1">
      <alignment vertical="center"/>
    </xf>
    <xf numFmtId="44" fontId="42" fillId="3" borderId="54" xfId="1" applyFont="1" applyFill="1" applyBorder="1" applyAlignment="1">
      <alignment horizontal="right" vertical="center"/>
    </xf>
    <xf numFmtId="0" fontId="31" fillId="6" borderId="24" xfId="0" applyFont="1" applyFill="1" applyBorder="1"/>
    <xf numFmtId="0" fontId="31" fillId="6" borderId="36" xfId="0" applyFont="1" applyFill="1" applyBorder="1"/>
    <xf numFmtId="0" fontId="30" fillId="6" borderId="36" xfId="0" applyFont="1" applyFill="1" applyBorder="1"/>
    <xf numFmtId="0" fontId="30" fillId="6" borderId="37" xfId="0" applyFont="1" applyFill="1" applyBorder="1"/>
    <xf numFmtId="0" fontId="31" fillId="6" borderId="29" xfId="0" applyFont="1" applyFill="1" applyBorder="1"/>
    <xf numFmtId="0" fontId="31" fillId="6" borderId="28" xfId="0" applyFont="1" applyFill="1" applyBorder="1"/>
    <xf numFmtId="0" fontId="30" fillId="6" borderId="28" xfId="0" applyFont="1" applyFill="1" applyBorder="1"/>
    <xf numFmtId="0" fontId="30" fillId="6" borderId="30" xfId="0" applyFont="1" applyFill="1" applyBorder="1"/>
    <xf numFmtId="0" fontId="30" fillId="5" borderId="0" xfId="0" applyFont="1" applyFill="1"/>
    <xf numFmtId="0" fontId="33" fillId="5" borderId="0" xfId="0" applyFont="1" applyFill="1" applyAlignment="1">
      <alignment horizontal="center"/>
    </xf>
    <xf numFmtId="0" fontId="43" fillId="5" borderId="0" xfId="0" applyFont="1" applyFill="1" applyAlignment="1">
      <alignment vertical="center" wrapText="1"/>
    </xf>
    <xf numFmtId="0" fontId="43" fillId="5" borderId="0" xfId="0" applyFont="1" applyFill="1" applyAlignment="1">
      <alignment wrapText="1"/>
    </xf>
    <xf numFmtId="0" fontId="33" fillId="5" borderId="0" xfId="0" applyFont="1" applyFill="1"/>
    <xf numFmtId="0" fontId="31" fillId="5" borderId="0" xfId="0" applyFont="1" applyFill="1"/>
    <xf numFmtId="10" fontId="30" fillId="5" borderId="0" xfId="0" applyNumberFormat="1" applyFont="1" applyFill="1" applyAlignment="1">
      <alignment horizontal="center" vertical="center" wrapText="1"/>
    </xf>
    <xf numFmtId="44" fontId="37" fillId="5" borderId="0" xfId="0" applyNumberFormat="1" applyFont="1" applyFill="1" applyAlignment="1">
      <alignment horizontal="left" vertical="center" wrapText="1"/>
    </xf>
    <xf numFmtId="0" fontId="32" fillId="5" borderId="0" xfId="0" applyFont="1" applyFill="1"/>
    <xf numFmtId="0" fontId="34" fillId="5" borderId="0" xfId="0" applyFont="1" applyFill="1" applyAlignment="1">
      <alignment horizontal="left" vertical="center" wrapText="1"/>
    </xf>
    <xf numFmtId="10" fontId="30" fillId="5" borderId="1" xfId="0" applyNumberFormat="1" applyFont="1" applyFill="1" applyBorder="1" applyAlignment="1">
      <alignment horizontal="center" vertical="center" wrapText="1"/>
    </xf>
    <xf numFmtId="0" fontId="34" fillId="5" borderId="0" xfId="0" applyFont="1" applyFill="1" applyAlignment="1">
      <alignment vertical="center" wrapText="1"/>
    </xf>
    <xf numFmtId="10" fontId="35" fillId="5" borderId="51" xfId="2" applyNumberFormat="1" applyFont="1" applyFill="1" applyBorder="1" applyAlignment="1">
      <alignment vertical="center"/>
    </xf>
    <xf numFmtId="167" fontId="36" fillId="5" borderId="1" xfId="2" applyNumberFormat="1" applyFont="1" applyFill="1" applyBorder="1" applyAlignment="1">
      <alignment vertical="center"/>
    </xf>
    <xf numFmtId="167" fontId="36" fillId="5" borderId="0" xfId="2" applyNumberFormat="1" applyFont="1" applyFill="1" applyBorder="1" applyAlignment="1">
      <alignment vertical="center"/>
    </xf>
    <xf numFmtId="0" fontId="36" fillId="5" borderId="0" xfId="0" applyFont="1" applyFill="1" applyAlignment="1">
      <alignment vertical="center" wrapText="1"/>
    </xf>
    <xf numFmtId="10" fontId="30" fillId="5" borderId="0" xfId="0" applyNumberFormat="1" applyFont="1" applyFill="1" applyAlignment="1">
      <alignment vertical="center" wrapText="1"/>
    </xf>
    <xf numFmtId="0" fontId="35" fillId="5" borderId="0" xfId="0" applyFont="1" applyFill="1" applyAlignment="1">
      <alignment vertical="center" wrapText="1"/>
    </xf>
    <xf numFmtId="10" fontId="36" fillId="5" borderId="0" xfId="2" applyNumberFormat="1" applyFont="1" applyFill="1" applyBorder="1" applyAlignment="1">
      <alignment vertical="center"/>
    </xf>
    <xf numFmtId="10" fontId="30" fillId="5" borderId="51" xfId="0" applyNumberFormat="1" applyFont="1" applyFill="1" applyBorder="1"/>
    <xf numFmtId="0" fontId="30" fillId="5" borderId="0" xfId="0" applyFont="1" applyFill="1" applyAlignment="1">
      <alignment horizontal="left"/>
    </xf>
    <xf numFmtId="44" fontId="31" fillId="5" borderId="0" xfId="0" applyNumberFormat="1" applyFont="1" applyFill="1" applyAlignment="1">
      <alignment vertical="center" wrapText="1"/>
    </xf>
    <xf numFmtId="0" fontId="36" fillId="5" borderId="0" xfId="0" applyFont="1" applyFill="1" applyAlignment="1">
      <alignment horizontal="center" vertical="center" wrapText="1"/>
    </xf>
    <xf numFmtId="10" fontId="30" fillId="5" borderId="0" xfId="0" applyNumberFormat="1" applyFont="1" applyFill="1" applyAlignment="1">
      <alignment horizontal="center" vertical="center"/>
    </xf>
    <xf numFmtId="0" fontId="31" fillId="5" borderId="0" xfId="0" applyFont="1" applyFill="1" applyAlignment="1">
      <alignment vertical="center" wrapText="1"/>
    </xf>
    <xf numFmtId="0" fontId="32" fillId="5" borderId="0" xfId="0" applyFont="1" applyFill="1" applyAlignment="1">
      <alignment horizontal="left" vertical="center" wrapText="1"/>
    </xf>
    <xf numFmtId="10" fontId="30" fillId="5" borderId="1" xfId="0" applyNumberFormat="1" applyFont="1" applyFill="1" applyBorder="1" applyAlignment="1">
      <alignment horizontal="center" vertical="center"/>
    </xf>
    <xf numFmtId="10" fontId="30" fillId="5" borderId="0" xfId="0" applyNumberFormat="1" applyFont="1" applyFill="1" applyAlignment="1">
      <alignment vertical="center"/>
    </xf>
    <xf numFmtId="10" fontId="35" fillId="5" borderId="51" xfId="0" applyNumberFormat="1" applyFont="1" applyFill="1" applyBorder="1" applyAlignment="1">
      <alignment vertical="center"/>
    </xf>
    <xf numFmtId="167" fontId="36" fillId="5" borderId="0" xfId="0" applyNumberFormat="1" applyFont="1" applyFill="1" applyAlignment="1">
      <alignment vertical="center"/>
    </xf>
    <xf numFmtId="167" fontId="36" fillId="5" borderId="1" xfId="0" applyNumberFormat="1" applyFont="1" applyFill="1" applyBorder="1" applyAlignment="1">
      <alignment vertical="center"/>
    </xf>
    <xf numFmtId="10" fontId="36" fillId="5" borderId="0" xfId="0" applyNumberFormat="1" applyFont="1" applyFill="1" applyAlignment="1">
      <alignment vertical="center"/>
    </xf>
    <xf numFmtId="0" fontId="30" fillId="5" borderId="0" xfId="0" applyFont="1" applyFill="1" applyAlignment="1">
      <alignment horizontal="center" vertical="center" wrapText="1"/>
    </xf>
    <xf numFmtId="0" fontId="38" fillId="5" borderId="0" xfId="0" applyFont="1" applyFill="1"/>
    <xf numFmtId="164" fontId="30" fillId="5" borderId="0" xfId="0" applyNumberFormat="1" applyFont="1" applyFill="1" applyAlignment="1">
      <alignment horizontal="center" vertical="center"/>
    </xf>
    <xf numFmtId="44" fontId="37" fillId="5" borderId="62" xfId="0" applyNumberFormat="1" applyFont="1" applyFill="1" applyBorder="1" applyAlignment="1">
      <alignment horizontal="left" vertical="center" wrapText="1"/>
    </xf>
    <xf numFmtId="0" fontId="30" fillId="5" borderId="0" xfId="0" applyFont="1" applyFill="1" applyAlignment="1">
      <alignment vertical="center" wrapText="1"/>
    </xf>
    <xf numFmtId="164" fontId="30" fillId="5" borderId="1" xfId="0" applyNumberFormat="1" applyFont="1" applyFill="1" applyBorder="1" applyAlignment="1">
      <alignment horizontal="center" vertical="center"/>
    </xf>
    <xf numFmtId="0" fontId="32" fillId="5" borderId="0" xfId="0" applyFont="1" applyFill="1" applyAlignment="1">
      <alignment horizontal="left" wrapText="1"/>
    </xf>
    <xf numFmtId="164" fontId="30" fillId="5" borderId="0" xfId="0" applyNumberFormat="1" applyFont="1" applyFill="1" applyAlignment="1">
      <alignment vertical="center"/>
    </xf>
    <xf numFmtId="0" fontId="34" fillId="5" borderId="62" xfId="0" applyFont="1" applyFill="1" applyBorder="1" applyAlignment="1">
      <alignment vertical="center" wrapText="1"/>
    </xf>
    <xf numFmtId="44" fontId="30" fillId="5" borderId="51" xfId="0" applyNumberFormat="1" applyFont="1" applyFill="1" applyBorder="1" applyAlignment="1">
      <alignment vertical="center"/>
    </xf>
    <xf numFmtId="44" fontId="30" fillId="5" borderId="0" xfId="0" applyNumberFormat="1" applyFont="1" applyFill="1" applyAlignment="1">
      <alignment vertical="center"/>
    </xf>
    <xf numFmtId="164" fontId="35" fillId="5" borderId="51" xfId="0" applyNumberFormat="1" applyFont="1" applyFill="1" applyBorder="1" applyAlignment="1">
      <alignment vertical="center"/>
    </xf>
    <xf numFmtId="168" fontId="36" fillId="5" borderId="0" xfId="0" applyNumberFormat="1" applyFont="1" applyFill="1" applyAlignment="1">
      <alignment vertical="center"/>
    </xf>
    <xf numFmtId="168" fontId="36" fillId="5" borderId="1" xfId="0" applyNumberFormat="1" applyFont="1" applyFill="1" applyBorder="1" applyAlignment="1">
      <alignment vertical="center"/>
    </xf>
    <xf numFmtId="164" fontId="30" fillId="5" borderId="51" xfId="0" applyNumberFormat="1" applyFont="1" applyFill="1" applyBorder="1"/>
    <xf numFmtId="169" fontId="36" fillId="5" borderId="0" xfId="0" applyNumberFormat="1" applyFont="1" applyFill="1" applyAlignment="1">
      <alignment vertical="center"/>
    </xf>
    <xf numFmtId="169" fontId="36" fillId="5" borderId="1" xfId="0" applyNumberFormat="1" applyFont="1" applyFill="1" applyBorder="1" applyAlignment="1">
      <alignment vertical="center"/>
    </xf>
    <xf numFmtId="0" fontId="30" fillId="5" borderId="0" xfId="0" applyFont="1" applyFill="1" applyAlignment="1">
      <alignment horizontal="left" vertical="center" wrapText="1"/>
    </xf>
    <xf numFmtId="0" fontId="30" fillId="5" borderId="53" xfId="0" applyFont="1" applyFill="1" applyBorder="1"/>
    <xf numFmtId="0" fontId="30" fillId="5" borderId="53" xfId="0" applyFont="1" applyFill="1" applyBorder="1" applyAlignment="1">
      <alignment horizontal="center" vertical="center" wrapText="1"/>
    </xf>
    <xf numFmtId="0" fontId="30" fillId="5" borderId="54" xfId="0" applyFont="1" applyFill="1" applyBorder="1" applyAlignment="1">
      <alignment horizontal="center" vertical="center" wrapText="1"/>
    </xf>
    <xf numFmtId="0" fontId="32" fillId="5" borderId="0" xfId="0" applyFont="1" applyFill="1" applyAlignment="1">
      <alignment vertical="center" wrapText="1"/>
    </xf>
    <xf numFmtId="0" fontId="3" fillId="0" borderId="51" xfId="0" applyFont="1" applyBorder="1"/>
    <xf numFmtId="44" fontId="3" fillId="0" borderId="19" xfId="1" applyFont="1" applyFill="1" applyBorder="1" applyAlignment="1">
      <alignment horizontal="center"/>
    </xf>
    <xf numFmtId="44" fontId="3" fillId="0" borderId="8" xfId="1" applyFont="1" applyFill="1" applyBorder="1" applyAlignment="1">
      <alignment horizontal="center"/>
    </xf>
    <xf numFmtId="44" fontId="3" fillId="0" borderId="0" xfId="0" applyNumberFormat="1" applyFont="1"/>
    <xf numFmtId="0" fontId="3" fillId="0" borderId="0" xfId="0" applyFont="1" applyAlignment="1">
      <alignment horizontal="left" vertical="center"/>
    </xf>
    <xf numFmtId="0" fontId="0" fillId="0" borderId="69" xfId="0" applyBorder="1"/>
    <xf numFmtId="2" fontId="0" fillId="0" borderId="1" xfId="2" applyNumberFormat="1" applyFont="1" applyBorder="1"/>
    <xf numFmtId="0" fontId="0" fillId="0" borderId="5" xfId="0" applyBorder="1" applyAlignment="1">
      <alignment wrapText="1"/>
    </xf>
    <xf numFmtId="166" fontId="13" fillId="3" borderId="8" xfId="0" applyNumberFormat="1" applyFont="1" applyFill="1" applyBorder="1"/>
    <xf numFmtId="0" fontId="13" fillId="3" borderId="9" xfId="0" applyFont="1" applyFill="1" applyBorder="1"/>
    <xf numFmtId="0" fontId="26" fillId="3" borderId="53" xfId="0" applyFont="1" applyFill="1" applyBorder="1" applyAlignment="1">
      <alignment vertical="center" wrapText="1"/>
    </xf>
    <xf numFmtId="44" fontId="0" fillId="0" borderId="6" xfId="1" applyFont="1" applyBorder="1"/>
    <xf numFmtId="0" fontId="13" fillId="0" borderId="0" xfId="0" applyFont="1"/>
    <xf numFmtId="0" fontId="0" fillId="0" borderId="3" xfId="0" applyBorder="1" applyAlignment="1">
      <alignment vertical="center"/>
    </xf>
    <xf numFmtId="0" fontId="0" fillId="0" borderId="1" xfId="0" applyBorder="1" applyAlignment="1">
      <alignment vertical="center"/>
    </xf>
    <xf numFmtId="0" fontId="3" fillId="3" borderId="0" xfId="0" applyFont="1" applyFill="1"/>
    <xf numFmtId="0" fontId="3" fillId="3" borderId="0" xfId="0" applyFont="1" applyFill="1" applyAlignment="1">
      <alignment horizontal="left" vertical="top"/>
    </xf>
    <xf numFmtId="0" fontId="9" fillId="3" borderId="0" xfId="0" applyFont="1" applyFill="1"/>
    <xf numFmtId="0" fontId="0" fillId="3" borderId="0" xfId="0" applyFill="1" applyAlignment="1">
      <alignment horizontal="center" vertical="center"/>
    </xf>
    <xf numFmtId="0" fontId="0" fillId="0" borderId="47" xfId="0" applyBorder="1" applyAlignment="1">
      <alignment vertical="center"/>
    </xf>
    <xf numFmtId="44" fontId="0" fillId="0" borderId="44" xfId="1" applyFont="1" applyBorder="1"/>
    <xf numFmtId="0" fontId="44" fillId="3" borderId="0" xfId="0" applyFont="1" applyFill="1"/>
    <xf numFmtId="0" fontId="44" fillId="0" borderId="0" xfId="0" applyFont="1"/>
    <xf numFmtId="0" fontId="45" fillId="0" borderId="0" xfId="0" applyFont="1"/>
    <xf numFmtId="0" fontId="44" fillId="3" borderId="0" xfId="0" applyFont="1" applyFill="1" applyAlignment="1">
      <alignment vertical="top" wrapText="1"/>
    </xf>
    <xf numFmtId="0" fontId="45" fillId="0" borderId="0" xfId="0" applyFont="1" applyAlignment="1">
      <alignment vertical="center"/>
    </xf>
    <xf numFmtId="44" fontId="3" fillId="2" borderId="1" xfId="1" applyFont="1" applyFill="1" applyBorder="1" applyProtection="1">
      <protection locked="0"/>
    </xf>
    <xf numFmtId="44" fontId="3" fillId="2" borderId="3" xfId="1" applyFont="1" applyFill="1" applyBorder="1" applyProtection="1">
      <protection locked="0"/>
    </xf>
    <xf numFmtId="44" fontId="3" fillId="2" borderId="4" xfId="1" applyFont="1" applyFill="1" applyBorder="1" applyProtection="1">
      <protection locked="0"/>
    </xf>
    <xf numFmtId="44" fontId="3" fillId="2" borderId="6" xfId="1" applyFont="1" applyFill="1" applyBorder="1" applyProtection="1">
      <protection locked="0"/>
    </xf>
    <xf numFmtId="44" fontId="3" fillId="0" borderId="1" xfId="1" applyFont="1" applyFill="1" applyBorder="1" applyProtection="1">
      <protection locked="0"/>
    </xf>
    <xf numFmtId="44" fontId="3" fillId="0" borderId="6" xfId="1" applyFont="1" applyFill="1" applyBorder="1" applyProtection="1">
      <protection locked="0"/>
    </xf>
    <xf numFmtId="44" fontId="3" fillId="2" borderId="8" xfId="1" applyFont="1" applyFill="1" applyBorder="1" applyProtection="1">
      <protection locked="0"/>
    </xf>
    <xf numFmtId="44" fontId="3" fillId="2" borderId="9" xfId="1" applyFont="1" applyFill="1" applyBorder="1" applyProtection="1">
      <protection locked="0"/>
    </xf>
    <xf numFmtId="44" fontId="9" fillId="2" borderId="1" xfId="1" applyFont="1" applyFill="1" applyBorder="1" applyProtection="1">
      <protection locked="0"/>
    </xf>
    <xf numFmtId="9" fontId="9" fillId="2" borderId="1" xfId="2" applyFont="1" applyFill="1" applyBorder="1" applyProtection="1">
      <protection locked="0"/>
    </xf>
    <xf numFmtId="44" fontId="9" fillId="0" borderId="1" xfId="1" applyFont="1" applyFill="1" applyBorder="1" applyProtection="1">
      <protection locked="0"/>
    </xf>
    <xf numFmtId="2" fontId="9" fillId="2" borderId="1" xfId="1" applyNumberFormat="1" applyFont="1" applyFill="1" applyBorder="1" applyProtection="1">
      <protection locked="0"/>
    </xf>
    <xf numFmtId="2" fontId="9" fillId="2" borderId="8" xfId="1" applyNumberFormat="1" applyFont="1" applyFill="1" applyBorder="1" applyProtection="1">
      <protection locked="0"/>
    </xf>
    <xf numFmtId="0" fontId="17" fillId="3" borderId="4" xfId="0" applyFont="1" applyFill="1" applyBorder="1" applyAlignment="1" applyProtection="1">
      <alignment horizontal="center"/>
      <protection locked="0"/>
    </xf>
    <xf numFmtId="0" fontId="5" fillId="3" borderId="6" xfId="0" applyFont="1" applyFill="1" applyBorder="1" applyProtection="1">
      <protection locked="0"/>
    </xf>
    <xf numFmtId="0" fontId="5" fillId="0" borderId="6" xfId="0" applyFont="1" applyBorder="1" applyProtection="1">
      <protection locked="0"/>
    </xf>
    <xf numFmtId="0" fontId="5" fillId="3" borderId="9" xfId="0" applyFont="1" applyFill="1" applyBorder="1" applyProtection="1">
      <protection locked="0"/>
    </xf>
    <xf numFmtId="0" fontId="25" fillId="2" borderId="51" xfId="0" applyFont="1" applyFill="1" applyBorder="1" applyAlignment="1" applyProtection="1">
      <alignment horizontal="center"/>
      <protection locked="0"/>
    </xf>
    <xf numFmtId="0" fontId="0" fillId="2" borderId="3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15" fillId="2" borderId="1" xfId="0" applyFont="1" applyFill="1" applyBorder="1" applyProtection="1">
      <protection locked="0"/>
    </xf>
    <xf numFmtId="165" fontId="15" fillId="2" borderId="1" xfId="0" applyNumberFormat="1" applyFont="1" applyFill="1" applyBorder="1" applyAlignment="1" applyProtection="1">
      <alignment horizontal="left"/>
      <protection locked="0"/>
    </xf>
    <xf numFmtId="165" fontId="41" fillId="6" borderId="0" xfId="1" applyNumberFormat="1" applyFont="1" applyFill="1" applyBorder="1" applyAlignment="1" applyProtection="1">
      <alignment horizontal="right"/>
      <protection locked="0"/>
    </xf>
    <xf numFmtId="44" fontId="41" fillId="6" borderId="0" xfId="1" applyFont="1" applyFill="1" applyBorder="1" applyAlignment="1" applyProtection="1">
      <alignment horizontal="right" vertical="center"/>
      <protection locked="0"/>
    </xf>
    <xf numFmtId="0" fontId="15" fillId="2" borderId="55" xfId="0" applyFont="1" applyFill="1" applyBorder="1" applyAlignment="1" applyProtection="1">
      <alignment horizontal="center"/>
      <protection locked="0"/>
    </xf>
    <xf numFmtId="10" fontId="41" fillId="6" borderId="0" xfId="2" applyNumberFormat="1" applyFont="1" applyFill="1" applyBorder="1" applyAlignment="1" applyProtection="1">
      <alignment horizontal="right"/>
      <protection locked="0"/>
    </xf>
    <xf numFmtId="0" fontId="15" fillId="2" borderId="6" xfId="0" applyFont="1" applyFill="1" applyBorder="1" applyAlignment="1" applyProtection="1">
      <alignment horizontal="center"/>
      <protection locked="0"/>
    </xf>
    <xf numFmtId="44" fontId="15" fillId="2" borderId="6" xfId="1" applyFont="1" applyFill="1" applyBorder="1" applyAlignment="1" applyProtection="1">
      <alignment horizontal="right"/>
      <protection locked="0"/>
    </xf>
    <xf numFmtId="166" fontId="15" fillId="2" borderId="6" xfId="0" applyNumberFormat="1" applyFont="1" applyFill="1" applyBorder="1" applyAlignment="1" applyProtection="1">
      <alignment horizontal="right" vertical="center"/>
      <protection locked="0"/>
    </xf>
    <xf numFmtId="166" fontId="0" fillId="2" borderId="9" xfId="0" applyNumberFormat="1" applyFill="1" applyBorder="1" applyAlignment="1" applyProtection="1">
      <alignment horizontal="right" vertical="center"/>
      <protection locked="0"/>
    </xf>
    <xf numFmtId="44" fontId="0" fillId="2" borderId="6" xfId="1" applyFont="1" applyFill="1" applyBorder="1" applyAlignment="1" applyProtection="1">
      <alignment horizontal="right" vertical="center"/>
      <protection locked="0"/>
    </xf>
    <xf numFmtId="166" fontId="0" fillId="2" borderId="6" xfId="0" applyNumberFormat="1" applyFill="1" applyBorder="1" applyAlignment="1" applyProtection="1">
      <alignment horizontal="right" vertical="center"/>
      <protection locked="0"/>
    </xf>
    <xf numFmtId="0" fontId="24" fillId="2" borderId="40" xfId="0" applyFont="1" applyFill="1" applyBorder="1" applyAlignment="1" applyProtection="1">
      <alignment horizontal="center" vertical="center"/>
      <protection locked="0"/>
    </xf>
    <xf numFmtId="44" fontId="15" fillId="2" borderId="6" xfId="1" applyFont="1" applyFill="1" applyBorder="1" applyAlignment="1" applyProtection="1">
      <alignment horizontal="right" vertical="center"/>
      <protection locked="0"/>
    </xf>
    <xf numFmtId="0" fontId="0" fillId="4" borderId="59" xfId="0" applyFill="1" applyBorder="1" applyAlignment="1" applyProtection="1">
      <alignment horizontal="center" vertical="center"/>
      <protection locked="0"/>
    </xf>
    <xf numFmtId="10" fontId="0" fillId="2" borderId="4" xfId="2" applyNumberFormat="1" applyFont="1" applyFill="1" applyBorder="1" applyProtection="1">
      <protection locked="0"/>
    </xf>
    <xf numFmtId="10" fontId="0" fillId="2" borderId="6" xfId="2" applyNumberFormat="1" applyFont="1" applyFill="1" applyBorder="1" applyProtection="1">
      <protection locked="0"/>
    </xf>
    <xf numFmtId="170" fontId="0" fillId="2" borderId="6" xfId="0" applyNumberFormat="1" applyFill="1" applyBorder="1" applyProtection="1">
      <protection locked="0"/>
    </xf>
    <xf numFmtId="0" fontId="17" fillId="3" borderId="18" xfId="0" applyFont="1" applyFill="1" applyBorder="1" applyAlignment="1" applyProtection="1">
      <alignment horizontal="center" vertical="center"/>
      <protection locked="0"/>
    </xf>
    <xf numFmtId="166" fontId="0" fillId="2" borderId="70" xfId="0" applyNumberFormat="1" applyFill="1" applyBorder="1" applyAlignment="1" applyProtection="1">
      <alignment horizontal="right" vertical="center"/>
      <protection locked="0"/>
    </xf>
    <xf numFmtId="0" fontId="15" fillId="2" borderId="12" xfId="0" applyFont="1" applyFill="1" applyBorder="1" applyAlignment="1" applyProtection="1">
      <alignment horizontal="center"/>
      <protection locked="0"/>
    </xf>
    <xf numFmtId="166" fontId="0" fillId="2" borderId="44" xfId="0" applyNumberFormat="1" applyFill="1" applyBorder="1" applyAlignment="1" applyProtection="1">
      <alignment horizontal="right" vertical="center"/>
      <protection locked="0"/>
    </xf>
    <xf numFmtId="0" fontId="0" fillId="3" borderId="0" xfId="0" applyFill="1" applyProtection="1">
      <protection locked="0"/>
    </xf>
    <xf numFmtId="0" fontId="46" fillId="3" borderId="0" xfId="0" applyFont="1" applyFill="1"/>
    <xf numFmtId="167" fontId="13" fillId="3" borderId="1" xfId="2" applyNumberFormat="1" applyFont="1" applyFill="1" applyBorder="1" applyAlignment="1" applyProtection="1">
      <alignment horizontal="center"/>
      <protection locked="0"/>
    </xf>
    <xf numFmtId="167" fontId="13" fillId="3" borderId="1" xfId="0" applyNumberFormat="1" applyFont="1" applyFill="1" applyBorder="1" applyAlignment="1" applyProtection="1">
      <alignment horizontal="center"/>
      <protection locked="0"/>
    </xf>
    <xf numFmtId="168" fontId="13" fillId="3" borderId="1" xfId="0" applyNumberFormat="1" applyFont="1" applyFill="1" applyBorder="1" applyAlignment="1" applyProtection="1">
      <alignment horizontal="center"/>
      <protection locked="0"/>
    </xf>
    <xf numFmtId="169" fontId="13" fillId="3" borderId="47" xfId="0" applyNumberFormat="1" applyFont="1" applyFill="1" applyBorder="1" applyAlignment="1" applyProtection="1">
      <alignment horizontal="center"/>
      <protection locked="0"/>
    </xf>
    <xf numFmtId="44" fontId="3" fillId="0" borderId="6" xfId="1" applyFont="1" applyFill="1" applyBorder="1"/>
    <xf numFmtId="44" fontId="3" fillId="0" borderId="9" xfId="1" applyFont="1" applyFill="1" applyBorder="1"/>
    <xf numFmtId="44" fontId="3" fillId="0" borderId="12" xfId="1" applyFont="1" applyFill="1" applyBorder="1"/>
    <xf numFmtId="44" fontId="3" fillId="0" borderId="9" xfId="1" applyFont="1" applyFill="1" applyBorder="1" applyAlignment="1">
      <alignment horizontal="center"/>
    </xf>
    <xf numFmtId="0" fontId="0" fillId="0" borderId="0" xfId="0" applyProtection="1">
      <protection locked="0"/>
    </xf>
    <xf numFmtId="0" fontId="44" fillId="0" borderId="0" xfId="0" applyFont="1" applyAlignment="1">
      <alignment horizontal="center"/>
    </xf>
    <xf numFmtId="0" fontId="44" fillId="0" borderId="0" xfId="0" applyFont="1" applyAlignment="1">
      <alignment horizontal="left" vertical="top" wrapText="1"/>
    </xf>
    <xf numFmtId="0" fontId="44" fillId="0" borderId="0" xfId="0" applyFont="1" applyAlignment="1">
      <alignment horizontal="left" vertical="center" wrapText="1"/>
    </xf>
    <xf numFmtId="0" fontId="48" fillId="0" borderId="0" xfId="3" applyFont="1" applyAlignment="1">
      <alignment horizontal="center"/>
    </xf>
    <xf numFmtId="0" fontId="7" fillId="0" borderId="5" xfId="0" applyFont="1" applyBorder="1" applyAlignment="1">
      <alignment horizontal="left"/>
    </xf>
    <xf numFmtId="0" fontId="7" fillId="0" borderId="1" xfId="0" applyFont="1" applyBorder="1" applyAlignment="1">
      <alignment horizontal="left"/>
    </xf>
    <xf numFmtId="0" fontId="6" fillId="0" borderId="5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7" fillId="0" borderId="7" xfId="0" applyFont="1" applyBorder="1" applyAlignment="1">
      <alignment horizontal="left"/>
    </xf>
    <xf numFmtId="0" fontId="7" fillId="0" borderId="8" xfId="0" applyFont="1" applyBorder="1" applyAlignment="1">
      <alignment horizontal="left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7" fillId="2" borderId="26" xfId="0" applyFont="1" applyFill="1" applyBorder="1" applyAlignment="1">
      <alignment horizontal="center"/>
    </xf>
    <xf numFmtId="0" fontId="7" fillId="2" borderId="32" xfId="0" applyFont="1" applyFill="1" applyBorder="1" applyAlignment="1">
      <alignment horizontal="center"/>
    </xf>
    <xf numFmtId="0" fontId="27" fillId="3" borderId="20" xfId="0" applyFont="1" applyFill="1" applyBorder="1" applyAlignment="1">
      <alignment horizontal="center" vertical="top"/>
    </xf>
    <xf numFmtId="0" fontId="27" fillId="3" borderId="21" xfId="0" applyFont="1" applyFill="1" applyBorder="1" applyAlignment="1">
      <alignment horizontal="center" vertical="top"/>
    </xf>
    <xf numFmtId="0" fontId="6" fillId="0" borderId="24" xfId="0" applyFont="1" applyBorder="1" applyAlignment="1">
      <alignment horizontal="center" vertical="top"/>
    </xf>
    <xf numFmtId="0" fontId="6" fillId="0" borderId="25" xfId="0" applyFont="1" applyBorder="1" applyAlignment="1">
      <alignment horizontal="center" vertical="top"/>
    </xf>
    <xf numFmtId="0" fontId="3" fillId="2" borderId="26" xfId="0" applyFont="1" applyFill="1" applyBorder="1" applyAlignment="1" applyProtection="1">
      <alignment horizontal="center"/>
      <protection locked="0"/>
    </xf>
    <xf numFmtId="0" fontId="3" fillId="2" borderId="27" xfId="0" applyFont="1" applyFill="1" applyBorder="1" applyAlignment="1" applyProtection="1">
      <alignment horizontal="center"/>
      <protection locked="0"/>
    </xf>
    <xf numFmtId="0" fontId="3" fillId="2" borderId="22" xfId="0" applyFont="1" applyFill="1" applyBorder="1" applyAlignment="1" applyProtection="1">
      <alignment horizontal="center"/>
      <protection locked="0"/>
    </xf>
    <xf numFmtId="0" fontId="27" fillId="3" borderId="13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16" fillId="3" borderId="14" xfId="0" applyFont="1" applyFill="1" applyBorder="1" applyAlignment="1">
      <alignment horizontal="center"/>
    </xf>
    <xf numFmtId="0" fontId="16" fillId="3" borderId="15" xfId="0" applyFont="1" applyFill="1" applyBorder="1" applyAlignment="1">
      <alignment horizontal="center"/>
    </xf>
    <xf numFmtId="0" fontId="6" fillId="0" borderId="7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44" fontId="7" fillId="0" borderId="29" xfId="1" applyFont="1" applyFill="1" applyBorder="1" applyAlignment="1">
      <alignment horizontal="center"/>
    </xf>
    <xf numFmtId="44" fontId="7" fillId="0" borderId="28" xfId="1" applyFont="1" applyFill="1" applyBorder="1" applyAlignment="1">
      <alignment horizontal="center"/>
    </xf>
    <xf numFmtId="44" fontId="7" fillId="0" borderId="30" xfId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center"/>
    </xf>
    <xf numFmtId="0" fontId="6" fillId="0" borderId="37" xfId="0" applyFont="1" applyBorder="1" applyAlignment="1">
      <alignment horizontal="center"/>
    </xf>
    <xf numFmtId="44" fontId="7" fillId="0" borderId="24" xfId="1" applyFont="1" applyFill="1" applyBorder="1" applyAlignment="1">
      <alignment horizontal="center"/>
    </xf>
    <xf numFmtId="44" fontId="7" fillId="0" borderId="25" xfId="1" applyFont="1" applyFill="1" applyBorder="1" applyAlignment="1">
      <alignment horizontal="center"/>
    </xf>
    <xf numFmtId="44" fontId="7" fillId="0" borderId="37" xfId="1" applyFont="1" applyFill="1" applyBorder="1" applyAlignment="1">
      <alignment horizontal="center"/>
    </xf>
    <xf numFmtId="0" fontId="27" fillId="3" borderId="33" xfId="0" applyFont="1" applyFill="1" applyBorder="1" applyAlignment="1">
      <alignment horizontal="center" vertical="center" wrapText="1"/>
    </xf>
    <xf numFmtId="0" fontId="27" fillId="3" borderId="24" xfId="0" applyFont="1" applyFill="1" applyBorder="1" applyAlignment="1">
      <alignment horizontal="center"/>
    </xf>
    <xf numFmtId="0" fontId="27" fillId="3" borderId="36" xfId="0" applyFont="1" applyFill="1" applyBorder="1" applyAlignment="1">
      <alignment horizontal="center"/>
    </xf>
    <xf numFmtId="0" fontId="27" fillId="3" borderId="37" xfId="0" applyFont="1" applyFill="1" applyBorder="1" applyAlignment="1">
      <alignment horizontal="center"/>
    </xf>
    <xf numFmtId="0" fontId="27" fillId="3" borderId="18" xfId="0" applyFont="1" applyFill="1" applyBorder="1" applyAlignment="1">
      <alignment horizontal="center" vertical="top"/>
    </xf>
    <xf numFmtId="0" fontId="27" fillId="3" borderId="19" xfId="0" applyFont="1" applyFill="1" applyBorder="1" applyAlignment="1">
      <alignment horizontal="center" vertical="top"/>
    </xf>
    <xf numFmtId="0" fontId="27" fillId="3" borderId="38" xfId="0" applyFont="1" applyFill="1" applyBorder="1" applyAlignment="1">
      <alignment horizontal="center" vertical="top"/>
    </xf>
    <xf numFmtId="0" fontId="27" fillId="3" borderId="39" xfId="0" applyFont="1" applyFill="1" applyBorder="1" applyAlignment="1">
      <alignment horizontal="center" vertical="top"/>
    </xf>
    <xf numFmtId="0" fontId="27" fillId="3" borderId="40" xfId="0" applyFont="1" applyFill="1" applyBorder="1" applyAlignment="1">
      <alignment horizontal="center" vertical="center"/>
    </xf>
    <xf numFmtId="0" fontId="27" fillId="3" borderId="41" xfId="0" applyFont="1" applyFill="1" applyBorder="1" applyAlignment="1">
      <alignment horizontal="center" vertical="center"/>
    </xf>
    <xf numFmtId="0" fontId="27" fillId="3" borderId="35" xfId="0" applyFont="1" applyFill="1" applyBorder="1" applyAlignment="1">
      <alignment horizontal="center" vertical="center" wrapText="1"/>
    </xf>
    <xf numFmtId="0" fontId="6" fillId="0" borderId="38" xfId="0" applyFont="1" applyBorder="1" applyAlignment="1">
      <alignment horizontal="left"/>
    </xf>
    <xf numFmtId="0" fontId="3" fillId="0" borderId="0" xfId="0" applyFont="1" applyAlignment="1">
      <alignment horizontal="left" vertical="top" wrapText="1"/>
    </xf>
    <xf numFmtId="0" fontId="27" fillId="3" borderId="29" xfId="0" applyFont="1" applyFill="1" applyBorder="1" applyAlignment="1">
      <alignment horizontal="center" vertical="top"/>
    </xf>
    <xf numFmtId="0" fontId="27" fillId="3" borderId="50" xfId="0" applyFont="1" applyFill="1" applyBorder="1" applyAlignment="1">
      <alignment horizontal="center" vertical="top"/>
    </xf>
    <xf numFmtId="44" fontId="7" fillId="0" borderId="29" xfId="1" applyFont="1" applyFill="1" applyBorder="1" applyAlignment="1">
      <alignment horizontal="right"/>
    </xf>
    <xf numFmtId="44" fontId="7" fillId="0" borderId="28" xfId="1" applyFont="1" applyFill="1" applyBorder="1" applyAlignment="1">
      <alignment horizontal="right"/>
    </xf>
    <xf numFmtId="44" fontId="7" fillId="0" borderId="30" xfId="1" applyFont="1" applyFill="1" applyBorder="1" applyAlignment="1">
      <alignment horizontal="right"/>
    </xf>
    <xf numFmtId="44" fontId="7" fillId="0" borderId="29" xfId="1" applyFont="1" applyFill="1" applyBorder="1" applyAlignment="1"/>
    <xf numFmtId="44" fontId="7" fillId="0" borderId="28" xfId="1" applyFont="1" applyFill="1" applyBorder="1" applyAlignment="1"/>
    <xf numFmtId="44" fontId="7" fillId="0" borderId="30" xfId="1" applyFont="1" applyFill="1" applyBorder="1" applyAlignment="1"/>
    <xf numFmtId="0" fontId="7" fillId="0" borderId="24" xfId="0" applyFont="1" applyBorder="1" applyAlignment="1">
      <alignment horizontal="left" vertical="top"/>
    </xf>
    <xf numFmtId="0" fontId="7" fillId="0" borderId="25" xfId="0" applyFont="1" applyBorder="1" applyAlignment="1">
      <alignment horizontal="left" vertical="top"/>
    </xf>
    <xf numFmtId="0" fontId="7" fillId="0" borderId="46" xfId="0" applyFont="1" applyBorder="1" applyAlignment="1">
      <alignment horizontal="left"/>
    </xf>
    <xf numFmtId="0" fontId="7" fillId="0" borderId="38" xfId="0" applyFont="1" applyBorder="1" applyAlignment="1">
      <alignment horizontal="left"/>
    </xf>
    <xf numFmtId="0" fontId="6" fillId="0" borderId="45" xfId="0" applyFont="1" applyBorder="1" applyAlignment="1">
      <alignment horizontal="center"/>
    </xf>
    <xf numFmtId="0" fontId="27" fillId="3" borderId="42" xfId="0" applyFont="1" applyFill="1" applyBorder="1" applyAlignment="1">
      <alignment horizontal="center" vertical="top"/>
    </xf>
    <xf numFmtId="0" fontId="27" fillId="3" borderId="0" xfId="0" applyFont="1" applyFill="1" applyAlignment="1">
      <alignment horizontal="center" vertical="top"/>
    </xf>
    <xf numFmtId="0" fontId="27" fillId="3" borderId="42" xfId="0" applyFont="1" applyFill="1" applyBorder="1" applyAlignment="1">
      <alignment horizontal="center"/>
    </xf>
    <xf numFmtId="0" fontId="27" fillId="3" borderId="0" xfId="0" applyFont="1" applyFill="1" applyAlignment="1">
      <alignment horizontal="center"/>
    </xf>
    <xf numFmtId="0" fontId="7" fillId="0" borderId="5" xfId="0" applyFont="1" applyBorder="1" applyAlignment="1">
      <alignment horizontal="left" vertical="top"/>
    </xf>
    <xf numFmtId="0" fontId="7" fillId="0" borderId="46" xfId="0" applyFont="1" applyBorder="1" applyAlignment="1">
      <alignment horizontal="left" vertical="top"/>
    </xf>
    <xf numFmtId="0" fontId="7" fillId="0" borderId="16" xfId="0" applyFont="1" applyBorder="1" applyAlignment="1">
      <alignment horizontal="left"/>
    </xf>
    <xf numFmtId="0" fontId="7" fillId="0" borderId="49" xfId="0" applyFont="1" applyBorder="1" applyAlignment="1">
      <alignment horizontal="left"/>
    </xf>
    <xf numFmtId="0" fontId="6" fillId="0" borderId="16" xfId="0" applyFont="1" applyBorder="1" applyAlignment="1">
      <alignment horizontal="left"/>
    </xf>
    <xf numFmtId="0" fontId="6" fillId="0" borderId="49" xfId="0" applyFont="1" applyBorder="1" applyAlignment="1">
      <alignment horizontal="left"/>
    </xf>
    <xf numFmtId="0" fontId="7" fillId="0" borderId="18" xfId="0" applyFont="1" applyBorder="1" applyAlignment="1">
      <alignment horizontal="left"/>
    </xf>
    <xf numFmtId="0" fontId="7" fillId="0" borderId="39" xfId="0" applyFont="1" applyBorder="1" applyAlignment="1">
      <alignment horizontal="left"/>
    </xf>
    <xf numFmtId="0" fontId="6" fillId="0" borderId="24" xfId="0" applyFont="1" applyBorder="1" applyAlignment="1">
      <alignment horizontal="left"/>
    </xf>
    <xf numFmtId="0" fontId="6" fillId="0" borderId="37" xfId="0" applyFont="1" applyBorder="1" applyAlignment="1">
      <alignment horizontal="left"/>
    </xf>
    <xf numFmtId="0" fontId="6" fillId="0" borderId="18" xfId="0" applyFont="1" applyBorder="1" applyAlignment="1">
      <alignment horizontal="left"/>
    </xf>
    <xf numFmtId="0" fontId="6" fillId="0" borderId="39" xfId="0" applyFont="1" applyBorder="1" applyAlignment="1">
      <alignment horizontal="left"/>
    </xf>
    <xf numFmtId="0" fontId="12" fillId="3" borderId="2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3" fillId="3" borderId="3" xfId="0" applyFont="1" applyFill="1" applyBorder="1" applyAlignment="1">
      <alignment horizontal="left" vertical="center" wrapText="1"/>
    </xf>
    <xf numFmtId="0" fontId="13" fillId="3" borderId="8" xfId="0" applyFont="1" applyFill="1" applyBorder="1" applyAlignment="1">
      <alignment horizontal="left" vertical="center" wrapText="1"/>
    </xf>
    <xf numFmtId="10" fontId="9" fillId="0" borderId="3" xfId="2" applyNumberFormat="1" applyFont="1" applyFill="1" applyBorder="1" applyAlignment="1">
      <alignment horizontal="right" vertical="center"/>
    </xf>
    <xf numFmtId="10" fontId="9" fillId="0" borderId="8" xfId="2" applyNumberFormat="1" applyFont="1" applyFill="1" applyBorder="1" applyAlignment="1">
      <alignment horizontal="right" vertical="center"/>
    </xf>
    <xf numFmtId="44" fontId="9" fillId="0" borderId="4" xfId="1" applyFont="1" applyFill="1" applyBorder="1" applyAlignment="1">
      <alignment horizontal="left" vertical="center" wrapText="1"/>
    </xf>
    <xf numFmtId="44" fontId="9" fillId="0" borderId="9" xfId="1" applyFont="1" applyFill="1" applyBorder="1" applyAlignment="1">
      <alignment horizontal="left" vertical="center" wrapText="1"/>
    </xf>
    <xf numFmtId="44" fontId="9" fillId="0" borderId="40" xfId="1" applyFont="1" applyFill="1" applyBorder="1" applyAlignment="1">
      <alignment horizontal="center" vertical="center" wrapText="1"/>
    </xf>
    <xf numFmtId="44" fontId="9" fillId="0" borderId="52" xfId="1" applyFont="1" applyFill="1" applyBorder="1" applyAlignment="1">
      <alignment horizontal="center" vertical="center" wrapText="1"/>
    </xf>
    <xf numFmtId="44" fontId="9" fillId="0" borderId="41" xfId="1" applyFont="1" applyFill="1" applyBorder="1" applyAlignment="1">
      <alignment horizontal="center" vertical="center" wrapText="1"/>
    </xf>
    <xf numFmtId="44" fontId="9" fillId="0" borderId="12" xfId="1" applyFont="1" applyFill="1" applyBorder="1" applyAlignment="1">
      <alignment horizontal="left" vertical="center" wrapText="1"/>
    </xf>
    <xf numFmtId="44" fontId="9" fillId="0" borderId="6" xfId="1" applyFont="1" applyFill="1" applyBorder="1" applyAlignment="1">
      <alignment horizontal="left" vertical="center" wrapText="1"/>
    </xf>
    <xf numFmtId="10" fontId="9" fillId="0" borderId="11" xfId="2" applyNumberFormat="1" applyFont="1" applyFill="1" applyBorder="1" applyAlignment="1">
      <alignment horizontal="right" vertical="center"/>
    </xf>
    <xf numFmtId="10" fontId="9" fillId="0" borderId="1" xfId="2" applyNumberFormat="1" applyFont="1" applyFill="1" applyBorder="1" applyAlignment="1">
      <alignment horizontal="right" vertical="center"/>
    </xf>
    <xf numFmtId="0" fontId="13" fillId="3" borderId="11" xfId="0" applyFont="1" applyFill="1" applyBorder="1" applyAlignment="1">
      <alignment horizontal="left" vertical="center" wrapText="1"/>
    </xf>
    <xf numFmtId="0" fontId="13" fillId="3" borderId="1" xfId="0" applyFont="1" applyFill="1" applyBorder="1" applyAlignment="1">
      <alignment horizontal="left" vertical="center" wrapText="1"/>
    </xf>
    <xf numFmtId="0" fontId="28" fillId="3" borderId="29" xfId="0" applyFont="1" applyFill="1" applyBorder="1" applyAlignment="1">
      <alignment horizontal="center"/>
    </xf>
    <xf numFmtId="0" fontId="28" fillId="3" borderId="28" xfId="0" applyFont="1" applyFill="1" applyBorder="1" applyAlignment="1">
      <alignment horizontal="center"/>
    </xf>
    <xf numFmtId="0" fontId="28" fillId="3" borderId="30" xfId="0" applyFont="1" applyFill="1" applyBorder="1" applyAlignment="1">
      <alignment horizontal="center"/>
    </xf>
    <xf numFmtId="164" fontId="9" fillId="0" borderId="1" xfId="2" applyNumberFormat="1" applyFont="1" applyFill="1" applyBorder="1" applyAlignment="1">
      <alignment horizontal="right" vertical="center"/>
    </xf>
    <xf numFmtId="164" fontId="9" fillId="0" borderId="8" xfId="2" applyNumberFormat="1" applyFont="1" applyFill="1" applyBorder="1" applyAlignment="1">
      <alignment horizontal="right" vertical="center"/>
    </xf>
    <xf numFmtId="0" fontId="12" fillId="3" borderId="10" xfId="0" applyFont="1" applyFill="1" applyBorder="1" applyAlignment="1">
      <alignment horizontal="center" vertical="center" wrapText="1"/>
    </xf>
    <xf numFmtId="0" fontId="12" fillId="3" borderId="5" xfId="0" applyFont="1" applyFill="1" applyBorder="1" applyAlignment="1">
      <alignment horizontal="center" vertical="center" wrapText="1"/>
    </xf>
    <xf numFmtId="0" fontId="12" fillId="3" borderId="7" xfId="0" applyFont="1" applyFill="1" applyBorder="1" applyAlignment="1">
      <alignment horizontal="center" vertical="center" wrapText="1"/>
    </xf>
    <xf numFmtId="0" fontId="12" fillId="3" borderId="5" xfId="0" applyFont="1" applyFill="1" applyBorder="1" applyAlignment="1">
      <alignment horizontal="center" vertical="center"/>
    </xf>
    <xf numFmtId="167" fontId="9" fillId="0" borderId="26" xfId="2" applyNumberFormat="1" applyFont="1" applyFill="1" applyBorder="1" applyAlignment="1" applyProtection="1">
      <alignment horizontal="center" vertical="center"/>
      <protection locked="0"/>
    </xf>
    <xf numFmtId="167" fontId="9" fillId="0" borderId="22" xfId="2" applyNumberFormat="1" applyFont="1" applyFill="1" applyBorder="1" applyAlignment="1" applyProtection="1">
      <alignment horizontal="center" vertical="center"/>
      <protection locked="0"/>
    </xf>
    <xf numFmtId="169" fontId="9" fillId="0" borderId="26" xfId="2" applyNumberFormat="1" applyFont="1" applyFill="1" applyBorder="1" applyAlignment="1" applyProtection="1">
      <alignment horizontal="center" vertical="center"/>
      <protection locked="0"/>
    </xf>
    <xf numFmtId="169" fontId="9" fillId="0" borderId="22" xfId="2" applyNumberFormat="1" applyFont="1" applyFill="1" applyBorder="1" applyAlignment="1" applyProtection="1">
      <alignment horizontal="center" vertical="center"/>
      <protection locked="0"/>
    </xf>
    <xf numFmtId="167" fontId="9" fillId="0" borderId="11" xfId="2" applyNumberFormat="1" applyFont="1" applyFill="1" applyBorder="1" applyAlignment="1" applyProtection="1">
      <alignment horizontal="center" vertical="center"/>
      <protection locked="0"/>
    </xf>
    <xf numFmtId="167" fontId="9" fillId="0" borderId="47" xfId="2" applyNumberFormat="1" applyFont="1" applyFill="1" applyBorder="1" applyAlignment="1" applyProtection="1">
      <alignment horizontal="center" vertical="center"/>
      <protection locked="0"/>
    </xf>
    <xf numFmtId="168" fontId="9" fillId="0" borderId="47" xfId="2" applyNumberFormat="1" applyFont="1" applyFill="1" applyBorder="1" applyAlignment="1" applyProtection="1">
      <alignment horizontal="center" vertical="center"/>
      <protection locked="0"/>
    </xf>
    <xf numFmtId="168" fontId="9" fillId="0" borderId="22" xfId="2" applyNumberFormat="1" applyFont="1" applyFill="1" applyBorder="1" applyAlignment="1" applyProtection="1">
      <alignment horizontal="center" vertical="center"/>
      <protection locked="0"/>
    </xf>
    <xf numFmtId="10" fontId="9" fillId="0" borderId="26" xfId="2" applyNumberFormat="1" applyFont="1" applyFill="1" applyBorder="1" applyAlignment="1" applyProtection="1">
      <alignment horizontal="center" vertical="center"/>
      <protection locked="0"/>
    </xf>
    <xf numFmtId="10" fontId="9" fillId="0" borderId="22" xfId="2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left"/>
    </xf>
    <xf numFmtId="0" fontId="0" fillId="0" borderId="1" xfId="0" applyBorder="1" applyAlignment="1">
      <alignment horizontal="left"/>
    </xf>
    <xf numFmtId="0" fontId="13" fillId="3" borderId="40" xfId="0" applyFont="1" applyFill="1" applyBorder="1" applyAlignment="1">
      <alignment horizontal="left" vertical="center" wrapText="1"/>
    </xf>
    <xf numFmtId="0" fontId="13" fillId="3" borderId="52" xfId="0" applyFont="1" applyFill="1" applyBorder="1" applyAlignment="1">
      <alignment horizontal="left" vertical="center" wrapText="1"/>
    </xf>
    <xf numFmtId="0" fontId="13" fillId="3" borderId="41" xfId="0" applyFont="1" applyFill="1" applyBorder="1" applyAlignment="1">
      <alignment horizontal="left" vertical="center" wrapText="1"/>
    </xf>
    <xf numFmtId="166" fontId="19" fillId="3" borderId="53" xfId="0" applyNumberFormat="1" applyFont="1" applyFill="1" applyBorder="1" applyAlignment="1">
      <alignment horizontal="left" vertical="center" wrapText="1"/>
    </xf>
    <xf numFmtId="166" fontId="19" fillId="3" borderId="0" xfId="0" applyNumberFormat="1" applyFont="1" applyFill="1" applyAlignment="1">
      <alignment horizontal="left" vertical="center" wrapText="1"/>
    </xf>
    <xf numFmtId="166" fontId="19" fillId="3" borderId="54" xfId="0" applyNumberFormat="1" applyFont="1" applyFill="1" applyBorder="1" applyAlignment="1">
      <alignment horizontal="left" vertical="center" wrapText="1"/>
    </xf>
    <xf numFmtId="0" fontId="19" fillId="3" borderId="40" xfId="0" applyFont="1" applyFill="1" applyBorder="1" applyAlignment="1">
      <alignment horizontal="left" vertical="center" wrapText="1"/>
    </xf>
    <xf numFmtId="0" fontId="19" fillId="3" borderId="52" xfId="0" applyFont="1" applyFill="1" applyBorder="1" applyAlignment="1">
      <alignment horizontal="left" vertical="center" wrapText="1"/>
    </xf>
    <xf numFmtId="0" fontId="19" fillId="3" borderId="41" xfId="0" applyFont="1" applyFill="1" applyBorder="1" applyAlignment="1">
      <alignment horizontal="left" vertical="center" wrapText="1"/>
    </xf>
    <xf numFmtId="0" fontId="19" fillId="3" borderId="58" xfId="0" applyFont="1" applyFill="1" applyBorder="1" applyAlignment="1">
      <alignment horizontal="left" vertical="center" wrapText="1"/>
    </xf>
    <xf numFmtId="0" fontId="19" fillId="3" borderId="42" xfId="0" applyFont="1" applyFill="1" applyBorder="1" applyAlignment="1">
      <alignment horizontal="left" vertical="center" wrapText="1"/>
    </xf>
    <xf numFmtId="0" fontId="19" fillId="3" borderId="20" xfId="0" applyFont="1" applyFill="1" applyBorder="1" applyAlignment="1">
      <alignment horizontal="left" vertical="center" wrapText="1"/>
    </xf>
    <xf numFmtId="0" fontId="19" fillId="3" borderId="55" xfId="0" applyFont="1" applyFill="1" applyBorder="1" applyAlignment="1">
      <alignment horizontal="left" vertical="center" wrapText="1"/>
    </xf>
    <xf numFmtId="0" fontId="19" fillId="3" borderId="64" xfId="0" applyFont="1" applyFill="1" applyBorder="1" applyAlignment="1">
      <alignment horizontal="left" vertical="center" wrapText="1"/>
    </xf>
    <xf numFmtId="0" fontId="19" fillId="3" borderId="40" xfId="0" applyFont="1" applyFill="1" applyBorder="1" applyAlignment="1">
      <alignment horizontal="left" vertical="top" wrapText="1"/>
    </xf>
    <xf numFmtId="0" fontId="19" fillId="3" borderId="52" xfId="0" applyFont="1" applyFill="1" applyBorder="1" applyAlignment="1">
      <alignment horizontal="left" vertical="top" wrapText="1"/>
    </xf>
    <xf numFmtId="0" fontId="19" fillId="3" borderId="54" xfId="0" applyFont="1" applyFill="1" applyBorder="1" applyAlignment="1">
      <alignment horizontal="left" vertical="top" wrapText="1"/>
    </xf>
    <xf numFmtId="0" fontId="19" fillId="3" borderId="63" xfId="0" applyFont="1" applyFill="1" applyBorder="1" applyAlignment="1">
      <alignment horizontal="left" vertical="top" wrapText="1"/>
    </xf>
    <xf numFmtId="0" fontId="19" fillId="3" borderId="64" xfId="0" applyFont="1" applyFill="1" applyBorder="1" applyAlignment="1">
      <alignment horizontal="left" vertical="top" wrapText="1"/>
    </xf>
    <xf numFmtId="0" fontId="26" fillId="3" borderId="29" xfId="0" applyFont="1" applyFill="1" applyBorder="1" applyAlignment="1">
      <alignment horizontal="center" vertical="center" wrapText="1"/>
    </xf>
    <xf numFmtId="0" fontId="26" fillId="3" borderId="28" xfId="0" applyFont="1" applyFill="1" applyBorder="1" applyAlignment="1">
      <alignment horizontal="center" vertical="center" wrapText="1"/>
    </xf>
    <xf numFmtId="0" fontId="26" fillId="3" borderId="30" xfId="0" applyFont="1" applyFill="1" applyBorder="1" applyAlignment="1">
      <alignment horizontal="center" vertical="center" wrapText="1"/>
    </xf>
    <xf numFmtId="0" fontId="0" fillId="3" borderId="55" xfId="0" applyFill="1" applyBorder="1" applyAlignment="1">
      <alignment horizontal="center"/>
    </xf>
    <xf numFmtId="0" fontId="0" fillId="3" borderId="71" xfId="0" applyFill="1" applyBorder="1" applyAlignment="1">
      <alignment horizontal="center"/>
    </xf>
    <xf numFmtId="0" fontId="13" fillId="3" borderId="53" xfId="0" applyFont="1" applyFill="1" applyBorder="1" applyAlignment="1" applyProtection="1">
      <alignment horizontal="left" vertical="center" wrapText="1"/>
      <protection locked="0"/>
    </xf>
    <xf numFmtId="0" fontId="13" fillId="3" borderId="0" xfId="0" applyFont="1" applyFill="1" applyAlignment="1" applyProtection="1">
      <alignment horizontal="left" vertical="center" wrapText="1"/>
      <protection locked="0"/>
    </xf>
    <xf numFmtId="0" fontId="17" fillId="3" borderId="53" xfId="0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3" fillId="3" borderId="1" xfId="0" applyFont="1" applyFill="1" applyBorder="1" applyAlignment="1">
      <alignment horizontal="left" wrapText="1"/>
    </xf>
    <xf numFmtId="0" fontId="13" fillId="3" borderId="6" xfId="0" applyFont="1" applyFill="1" applyBorder="1" applyAlignment="1">
      <alignment horizontal="left" wrapText="1"/>
    </xf>
    <xf numFmtId="0" fontId="0" fillId="0" borderId="5" xfId="0" applyBorder="1" applyAlignment="1">
      <alignment horizontal="left" vertical="center" wrapText="1"/>
    </xf>
    <xf numFmtId="0" fontId="29" fillId="3" borderId="29" xfId="0" applyFont="1" applyFill="1" applyBorder="1" applyAlignment="1">
      <alignment horizontal="center"/>
    </xf>
    <xf numFmtId="0" fontId="29" fillId="3" borderId="28" xfId="0" applyFont="1" applyFill="1" applyBorder="1" applyAlignment="1">
      <alignment horizontal="center"/>
    </xf>
    <xf numFmtId="0" fontId="29" fillId="3" borderId="30" xfId="0" applyFont="1" applyFill="1" applyBorder="1" applyAlignment="1">
      <alignment horizontal="center"/>
    </xf>
    <xf numFmtId="0" fontId="12" fillId="3" borderId="62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63" xfId="0" applyFont="1" applyFill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4" fillId="0" borderId="6" xfId="0" applyFont="1" applyBorder="1" applyAlignment="1">
      <alignment horizontal="center"/>
    </xf>
    <xf numFmtId="0" fontId="17" fillId="0" borderId="5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46" xfId="0" applyFont="1" applyBorder="1" applyAlignment="1">
      <alignment horizontal="center" vertical="center" wrapText="1"/>
    </xf>
    <xf numFmtId="0" fontId="17" fillId="3" borderId="5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 wrapText="1"/>
    </xf>
    <xf numFmtId="0" fontId="17" fillId="3" borderId="46" xfId="0" applyFont="1" applyFill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4" fillId="0" borderId="47" xfId="0" applyFont="1" applyBorder="1" applyAlignment="1">
      <alignment horizontal="center"/>
    </xf>
    <xf numFmtId="0" fontId="14" fillId="0" borderId="44" xfId="0" applyFont="1" applyBorder="1" applyAlignment="1">
      <alignment horizontal="center"/>
    </xf>
    <xf numFmtId="0" fontId="22" fillId="3" borderId="29" xfId="0" applyFont="1" applyFill="1" applyBorder="1" applyAlignment="1">
      <alignment horizontal="center"/>
    </xf>
    <xf numFmtId="0" fontId="22" fillId="3" borderId="28" xfId="0" applyFont="1" applyFill="1" applyBorder="1" applyAlignment="1">
      <alignment horizontal="center"/>
    </xf>
    <xf numFmtId="0" fontId="22" fillId="3" borderId="30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19" fillId="3" borderId="53" xfId="0" applyFont="1" applyFill="1" applyBorder="1" applyAlignment="1">
      <alignment horizontal="left" vertical="center" wrapText="1"/>
    </xf>
    <xf numFmtId="0" fontId="19" fillId="3" borderId="54" xfId="0" applyFont="1" applyFill="1" applyBorder="1" applyAlignment="1">
      <alignment horizontal="left" vertical="center" wrapText="1"/>
    </xf>
    <xf numFmtId="0" fontId="17" fillId="3" borderId="58" xfId="0" applyFont="1" applyFill="1" applyBorder="1" applyAlignment="1">
      <alignment horizontal="center"/>
    </xf>
    <xf numFmtId="0" fontId="17" fillId="3" borderId="53" xfId="0" applyFont="1" applyFill="1" applyBorder="1" applyAlignment="1">
      <alignment horizontal="center"/>
    </xf>
    <xf numFmtId="0" fontId="17" fillId="3" borderId="28" xfId="0" applyFont="1" applyFill="1" applyBorder="1" applyAlignment="1">
      <alignment horizontal="center"/>
    </xf>
    <xf numFmtId="0" fontId="0" fillId="0" borderId="43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13" fillId="3" borderId="56" xfId="0" applyFont="1" applyFill="1" applyBorder="1" applyAlignment="1">
      <alignment horizontal="center" vertical="center" wrapText="1"/>
    </xf>
    <xf numFmtId="0" fontId="13" fillId="3" borderId="60" xfId="0" applyFont="1" applyFill="1" applyBorder="1" applyAlignment="1">
      <alignment horizontal="center" vertical="center" wrapText="1"/>
    </xf>
    <xf numFmtId="0" fontId="13" fillId="3" borderId="57" xfId="0" applyFont="1" applyFill="1" applyBorder="1" applyAlignment="1">
      <alignment horizontal="center" vertical="center" wrapText="1"/>
    </xf>
    <xf numFmtId="0" fontId="13" fillId="3" borderId="61" xfId="0" applyFont="1" applyFill="1" applyBorder="1" applyAlignment="1">
      <alignment horizontal="center" vertical="center" wrapText="1"/>
    </xf>
    <xf numFmtId="0" fontId="23" fillId="0" borderId="29" xfId="0" applyFont="1" applyBorder="1" applyAlignment="1" applyProtection="1">
      <alignment horizontal="center"/>
      <protection locked="0"/>
    </xf>
    <xf numFmtId="0" fontId="23" fillId="0" borderId="30" xfId="0" applyFont="1" applyBorder="1" applyAlignment="1" applyProtection="1">
      <alignment horizontal="center"/>
      <protection locked="0"/>
    </xf>
    <xf numFmtId="0" fontId="42" fillId="3" borderId="40" xfId="0" applyFont="1" applyFill="1" applyBorder="1" applyAlignment="1">
      <alignment horizontal="left" vertical="center" wrapText="1"/>
    </xf>
    <xf numFmtId="0" fontId="42" fillId="3" borderId="52" xfId="0" applyFont="1" applyFill="1" applyBorder="1" applyAlignment="1">
      <alignment horizontal="left" vertical="center" wrapText="1"/>
    </xf>
    <xf numFmtId="0" fontId="42" fillId="3" borderId="41" xfId="0" applyFont="1" applyFill="1" applyBorder="1" applyAlignment="1">
      <alignment horizontal="left" vertical="center" wrapText="1"/>
    </xf>
    <xf numFmtId="0" fontId="13" fillId="3" borderId="46" xfId="0" applyFont="1" applyFill="1" applyBorder="1" applyAlignment="1">
      <alignment horizontal="center"/>
    </xf>
    <xf numFmtId="0" fontId="13" fillId="3" borderId="49" xfId="0" applyFont="1" applyFill="1" applyBorder="1" applyAlignment="1">
      <alignment horizontal="center"/>
    </xf>
    <xf numFmtId="0" fontId="18" fillId="3" borderId="29" xfId="0" applyFont="1" applyFill="1" applyBorder="1" applyAlignment="1">
      <alignment horizontal="center"/>
    </xf>
    <xf numFmtId="0" fontId="18" fillId="3" borderId="28" xfId="0" applyFont="1" applyFill="1" applyBorder="1" applyAlignment="1">
      <alignment horizontal="center"/>
    </xf>
    <xf numFmtId="0" fontId="18" fillId="3" borderId="30" xfId="0" applyFont="1" applyFill="1" applyBorder="1" applyAlignment="1">
      <alignment horizontal="center"/>
    </xf>
    <xf numFmtId="0" fontId="11" fillId="0" borderId="7" xfId="0" applyFont="1" applyBorder="1" applyAlignment="1">
      <alignment horizontal="left"/>
    </xf>
    <xf numFmtId="0" fontId="11" fillId="0" borderId="8" xfId="0" applyFont="1" applyBorder="1" applyAlignment="1">
      <alignment horizontal="left"/>
    </xf>
    <xf numFmtId="0" fontId="40" fillId="3" borderId="42" xfId="0" applyFont="1" applyFill="1" applyBorder="1" applyAlignment="1">
      <alignment horizontal="center" vertical="center" wrapText="1"/>
    </xf>
    <xf numFmtId="0" fontId="40" fillId="3" borderId="20" xfId="0" applyFont="1" applyFill="1" applyBorder="1" applyAlignment="1">
      <alignment horizontal="center" vertical="center" wrapText="1"/>
    </xf>
    <xf numFmtId="0" fontId="17" fillId="3" borderId="29" xfId="0" applyFont="1" applyFill="1" applyBorder="1" applyAlignment="1">
      <alignment horizontal="left"/>
    </xf>
    <xf numFmtId="0" fontId="17" fillId="3" borderId="30" xfId="0" applyFont="1" applyFill="1" applyBorder="1" applyAlignment="1">
      <alignment horizontal="left"/>
    </xf>
    <xf numFmtId="0" fontId="26" fillId="3" borderId="20" xfId="0" applyFont="1" applyFill="1" applyBorder="1" applyAlignment="1">
      <alignment horizontal="center"/>
    </xf>
    <xf numFmtId="0" fontId="26" fillId="3" borderId="54" xfId="0" applyFont="1" applyFill="1" applyBorder="1" applyAlignment="1">
      <alignment horizontal="center"/>
    </xf>
    <xf numFmtId="0" fontId="26" fillId="3" borderId="64" xfId="0" applyFont="1" applyFill="1" applyBorder="1" applyAlignment="1">
      <alignment horizontal="center"/>
    </xf>
    <xf numFmtId="0" fontId="0" fillId="0" borderId="13" xfId="0" applyBorder="1" applyAlignment="1" applyProtection="1">
      <alignment horizontal="left"/>
      <protection locked="0"/>
    </xf>
    <xf numFmtId="0" fontId="0" fillId="0" borderId="15" xfId="0" applyBorder="1" applyAlignment="1" applyProtection="1">
      <alignment horizontal="left"/>
      <protection locked="0"/>
    </xf>
    <xf numFmtId="0" fontId="26" fillId="3" borderId="58" xfId="0" applyFont="1" applyFill="1" applyBorder="1" applyAlignment="1">
      <alignment horizontal="center" vertical="center" wrapText="1"/>
    </xf>
    <xf numFmtId="0" fontId="26" fillId="3" borderId="53" xfId="0" applyFont="1" applyFill="1" applyBorder="1" applyAlignment="1">
      <alignment horizontal="center" vertical="center" wrapText="1"/>
    </xf>
    <xf numFmtId="0" fontId="11" fillId="3" borderId="29" xfId="0" applyFont="1" applyFill="1" applyBorder="1" applyAlignment="1">
      <alignment horizontal="center"/>
    </xf>
    <xf numFmtId="0" fontId="11" fillId="3" borderId="28" xfId="0" applyFont="1" applyFill="1" applyBorder="1" applyAlignment="1">
      <alignment horizontal="center"/>
    </xf>
    <xf numFmtId="0" fontId="11" fillId="3" borderId="30" xfId="0" applyFont="1" applyFill="1" applyBorder="1" applyAlignment="1">
      <alignment horizontal="center"/>
    </xf>
    <xf numFmtId="166" fontId="19" fillId="3" borderId="55" xfId="0" applyNumberFormat="1" applyFont="1" applyFill="1" applyBorder="1" applyAlignment="1">
      <alignment horizontal="left" vertical="center" wrapText="1"/>
    </xf>
    <xf numFmtId="166" fontId="19" fillId="3" borderId="63" xfId="0" applyNumberFormat="1" applyFont="1" applyFill="1" applyBorder="1" applyAlignment="1">
      <alignment horizontal="left" vertical="center" wrapText="1"/>
    </xf>
    <xf numFmtId="166" fontId="19" fillId="3" borderId="64" xfId="0" applyNumberFormat="1" applyFont="1" applyFill="1" applyBorder="1" applyAlignment="1">
      <alignment horizontal="left" vertical="center" wrapText="1"/>
    </xf>
    <xf numFmtId="166" fontId="19" fillId="3" borderId="40" xfId="0" applyNumberFormat="1" applyFont="1" applyFill="1" applyBorder="1" applyAlignment="1">
      <alignment horizontal="center" vertical="center" wrapText="1"/>
    </xf>
    <xf numFmtId="166" fontId="19" fillId="3" borderId="41" xfId="0" applyNumberFormat="1" applyFont="1" applyFill="1" applyBorder="1" applyAlignment="1">
      <alignment horizontal="center" vertical="center" wrapText="1"/>
    </xf>
    <xf numFmtId="0" fontId="22" fillId="0" borderId="29" xfId="0" applyFont="1" applyBorder="1" applyAlignment="1" applyProtection="1">
      <alignment horizontal="left" vertical="center"/>
      <protection locked="0"/>
    </xf>
    <xf numFmtId="0" fontId="22" fillId="0" borderId="28" xfId="0" applyFont="1" applyBorder="1" applyAlignment="1" applyProtection="1">
      <alignment horizontal="left" vertical="center"/>
      <protection locked="0"/>
    </xf>
    <xf numFmtId="0" fontId="22" fillId="3" borderId="29" xfId="0" applyFont="1" applyFill="1" applyBorder="1" applyAlignment="1">
      <alignment horizontal="center" vertical="center"/>
    </xf>
    <xf numFmtId="0" fontId="22" fillId="3" borderId="28" xfId="0" applyFont="1" applyFill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166" fontId="19" fillId="3" borderId="58" xfId="0" applyNumberFormat="1" applyFont="1" applyFill="1" applyBorder="1" applyAlignment="1">
      <alignment horizontal="center" vertical="center" wrapText="1"/>
    </xf>
    <xf numFmtId="166" fontId="19" fillId="3" borderId="20" xfId="0" applyNumberFormat="1" applyFont="1" applyFill="1" applyBorder="1" applyAlignment="1">
      <alignment horizontal="center" vertical="center" wrapText="1"/>
    </xf>
    <xf numFmtId="0" fontId="17" fillId="0" borderId="16" xfId="0" applyFont="1" applyBorder="1" applyAlignment="1">
      <alignment horizontal="center" vertical="center" wrapText="1"/>
    </xf>
    <xf numFmtId="0" fontId="17" fillId="0" borderId="66" xfId="0" applyFont="1" applyBorder="1" applyAlignment="1">
      <alignment horizontal="center" vertical="center" wrapText="1"/>
    </xf>
    <xf numFmtId="0" fontId="17" fillId="3" borderId="18" xfId="0" applyFont="1" applyFill="1" applyBorder="1" applyAlignment="1">
      <alignment horizontal="center" vertical="center" wrapText="1"/>
    </xf>
    <xf numFmtId="0" fontId="17" fillId="3" borderId="68" xfId="0" applyFont="1" applyFill="1" applyBorder="1" applyAlignment="1">
      <alignment horizontal="center" vertical="center" wrapText="1"/>
    </xf>
    <xf numFmtId="0" fontId="26" fillId="3" borderId="2" xfId="0" applyFont="1" applyFill="1" applyBorder="1" applyAlignment="1">
      <alignment horizontal="center"/>
    </xf>
    <xf numFmtId="0" fontId="26" fillId="3" borderId="3" xfId="0" applyFont="1" applyFill="1" applyBorder="1" applyAlignment="1">
      <alignment horizontal="center"/>
    </xf>
    <xf numFmtId="0" fontId="26" fillId="3" borderId="4" xfId="0" applyFont="1" applyFill="1" applyBorder="1" applyAlignment="1">
      <alignment horizontal="center"/>
    </xf>
    <xf numFmtId="0" fontId="0" fillId="0" borderId="29" xfId="0" applyBorder="1" applyAlignment="1" applyProtection="1">
      <alignment horizontal="left"/>
      <protection locked="0"/>
    </xf>
    <xf numFmtId="0" fontId="0" fillId="0" borderId="28" xfId="0" applyBorder="1" applyAlignment="1" applyProtection="1">
      <alignment horizontal="left"/>
      <protection locked="0"/>
    </xf>
    <xf numFmtId="0" fontId="0" fillId="0" borderId="30" xfId="0" applyBorder="1" applyAlignment="1" applyProtection="1">
      <alignment horizontal="left"/>
      <protection locked="0"/>
    </xf>
    <xf numFmtId="0" fontId="12" fillId="3" borderId="29" xfId="0" applyFont="1" applyFill="1" applyBorder="1" applyAlignment="1" applyProtection="1">
      <alignment horizontal="center"/>
      <protection locked="0"/>
    </xf>
    <xf numFmtId="0" fontId="12" fillId="3" borderId="28" xfId="0" applyFont="1" applyFill="1" applyBorder="1" applyAlignment="1" applyProtection="1">
      <alignment horizontal="center"/>
      <protection locked="0"/>
    </xf>
    <xf numFmtId="0" fontId="12" fillId="3" borderId="30" xfId="0" applyFont="1" applyFill="1" applyBorder="1" applyAlignment="1" applyProtection="1">
      <alignment horizontal="center"/>
      <protection locked="0"/>
    </xf>
    <xf numFmtId="0" fontId="36" fillId="5" borderId="0" xfId="0" applyFont="1" applyFill="1" applyAlignment="1">
      <alignment horizontal="center" vertical="center" wrapText="1"/>
    </xf>
    <xf numFmtId="0" fontId="33" fillId="5" borderId="0" xfId="0" applyFont="1" applyFill="1" applyAlignment="1">
      <alignment horizontal="center"/>
    </xf>
    <xf numFmtId="0" fontId="32" fillId="5" borderId="0" xfId="0" applyFont="1" applyFill="1" applyAlignment="1">
      <alignment horizontal="left" wrapText="1"/>
    </xf>
    <xf numFmtId="0" fontId="30" fillId="6" borderId="58" xfId="0" applyFont="1" applyFill="1" applyBorder="1" applyAlignment="1">
      <alignment horizontal="left"/>
    </xf>
    <xf numFmtId="0" fontId="30" fillId="6" borderId="53" xfId="0" applyFont="1" applyFill="1" applyBorder="1" applyAlignment="1">
      <alignment horizontal="left"/>
    </xf>
    <xf numFmtId="0" fontId="30" fillId="6" borderId="55" xfId="0" applyFont="1" applyFill="1" applyBorder="1" applyAlignment="1">
      <alignment horizontal="left"/>
    </xf>
    <xf numFmtId="0" fontId="30" fillId="6" borderId="42" xfId="0" applyFont="1" applyFill="1" applyBorder="1" applyAlignment="1">
      <alignment horizontal="left"/>
    </xf>
    <xf numFmtId="0" fontId="30" fillId="6" borderId="0" xfId="0" applyFont="1" applyFill="1" applyAlignment="1">
      <alignment horizontal="left"/>
    </xf>
    <xf numFmtId="0" fontId="30" fillId="6" borderId="63" xfId="0" applyFont="1" applyFill="1" applyBorder="1" applyAlignment="1">
      <alignment horizontal="left"/>
    </xf>
    <xf numFmtId="0" fontId="30" fillId="6" borderId="20" xfId="0" applyFont="1" applyFill="1" applyBorder="1" applyAlignment="1">
      <alignment horizontal="left"/>
    </xf>
    <xf numFmtId="0" fontId="30" fillId="6" borderId="54" xfId="0" applyFont="1" applyFill="1" applyBorder="1" applyAlignment="1">
      <alignment horizontal="left"/>
    </xf>
    <xf numFmtId="0" fontId="30" fillId="6" borderId="64" xfId="0" applyFont="1" applyFill="1" applyBorder="1" applyAlignment="1">
      <alignment horizontal="left"/>
    </xf>
    <xf numFmtId="0" fontId="30" fillId="6" borderId="29" xfId="0" applyFont="1" applyFill="1" applyBorder="1" applyAlignment="1">
      <alignment horizontal="left"/>
    </xf>
    <xf numFmtId="0" fontId="30" fillId="6" borderId="28" xfId="0" applyFont="1" applyFill="1" applyBorder="1" applyAlignment="1">
      <alignment horizontal="left"/>
    </xf>
    <xf numFmtId="0" fontId="30" fillId="6" borderId="30" xfId="0" applyFont="1" applyFill="1" applyBorder="1" applyAlignment="1">
      <alignment horizontal="left"/>
    </xf>
    <xf numFmtId="0" fontId="30" fillId="6" borderId="58" xfId="0" applyFont="1" applyFill="1" applyBorder="1" applyAlignment="1">
      <alignment horizontal="center" vertical="center" wrapText="1"/>
    </xf>
    <xf numFmtId="0" fontId="30" fillId="6" borderId="53" xfId="0" applyFont="1" applyFill="1" applyBorder="1" applyAlignment="1">
      <alignment horizontal="center" vertical="center" wrapText="1"/>
    </xf>
    <xf numFmtId="0" fontId="30" fillId="6" borderId="55" xfId="0" applyFont="1" applyFill="1" applyBorder="1" applyAlignment="1">
      <alignment horizontal="center" vertical="center" wrapText="1"/>
    </xf>
    <xf numFmtId="0" fontId="30" fillId="6" borderId="42" xfId="0" applyFont="1" applyFill="1" applyBorder="1" applyAlignment="1">
      <alignment horizontal="center" vertical="center" wrapText="1"/>
    </xf>
    <xf numFmtId="0" fontId="30" fillId="6" borderId="0" xfId="0" applyFont="1" applyFill="1" applyAlignment="1">
      <alignment horizontal="center" vertical="center" wrapText="1"/>
    </xf>
    <xf numFmtId="0" fontId="30" fillId="6" borderId="63" xfId="0" applyFont="1" applyFill="1" applyBorder="1" applyAlignment="1">
      <alignment horizontal="center" vertical="center" wrapText="1"/>
    </xf>
    <xf numFmtId="0" fontId="30" fillId="6" borderId="20" xfId="0" applyFont="1" applyFill="1" applyBorder="1" applyAlignment="1">
      <alignment horizontal="center" vertical="center" wrapText="1"/>
    </xf>
    <xf numFmtId="0" fontId="30" fillId="6" borderId="54" xfId="0" applyFont="1" applyFill="1" applyBorder="1" applyAlignment="1">
      <alignment horizontal="center" vertical="center" wrapText="1"/>
    </xf>
    <xf numFmtId="0" fontId="30" fillId="6" borderId="64" xfId="0" applyFont="1" applyFill="1" applyBorder="1" applyAlignment="1">
      <alignment horizontal="center" vertical="center" wrapText="1"/>
    </xf>
    <xf numFmtId="0" fontId="30" fillId="5" borderId="0" xfId="0" applyFont="1" applyFill="1" applyAlignment="1">
      <alignment horizontal="center" vertical="center" wrapText="1"/>
    </xf>
    <xf numFmtId="0" fontId="43" fillId="5" borderId="0" xfId="0" applyFont="1" applyFill="1" applyAlignment="1">
      <alignment horizontal="center" vertical="center" wrapText="1"/>
    </xf>
    <xf numFmtId="44" fontId="37" fillId="5" borderId="1" xfId="0" applyNumberFormat="1" applyFont="1" applyFill="1" applyBorder="1" applyAlignment="1">
      <alignment horizontal="left" vertical="center" wrapText="1"/>
    </xf>
    <xf numFmtId="0" fontId="32" fillId="5" borderId="0" xfId="0" applyFont="1" applyFill="1" applyAlignment="1">
      <alignment horizontal="left" vertical="center" wrapText="1"/>
    </xf>
    <xf numFmtId="0" fontId="30" fillId="5" borderId="1" xfId="0" applyFont="1" applyFill="1" applyBorder="1" applyAlignment="1">
      <alignment horizontal="left" vertical="center" wrapText="1"/>
    </xf>
    <xf numFmtId="0" fontId="30" fillId="5" borderId="58" xfId="0" applyFont="1" applyFill="1" applyBorder="1" applyAlignment="1">
      <alignment horizontal="center" vertical="center" wrapText="1"/>
    </xf>
    <xf numFmtId="0" fontId="30" fillId="5" borderId="53" xfId="0" applyFont="1" applyFill="1" applyBorder="1" applyAlignment="1">
      <alignment horizontal="center" vertical="center" wrapText="1"/>
    </xf>
    <xf numFmtId="0" fontId="30" fillId="5" borderId="55" xfId="0" applyFont="1" applyFill="1" applyBorder="1" applyAlignment="1">
      <alignment horizontal="center" vertical="center" wrapText="1"/>
    </xf>
    <xf numFmtId="0" fontId="30" fillId="5" borderId="20" xfId="0" applyFont="1" applyFill="1" applyBorder="1" applyAlignment="1">
      <alignment horizontal="center" vertical="center" wrapText="1"/>
    </xf>
    <xf numFmtId="0" fontId="30" fillId="5" borderId="54" xfId="0" applyFont="1" applyFill="1" applyBorder="1" applyAlignment="1">
      <alignment horizontal="center" vertical="center" wrapText="1"/>
    </xf>
    <xf numFmtId="0" fontId="30" fillId="5" borderId="64" xfId="0" applyFont="1" applyFill="1" applyBorder="1" applyAlignment="1">
      <alignment horizontal="center" vertical="center" wrapText="1"/>
    </xf>
    <xf numFmtId="0" fontId="34" fillId="5" borderId="0" xfId="0" applyFont="1" applyFill="1" applyAlignment="1">
      <alignment horizontal="left" vertical="center" wrapText="1"/>
    </xf>
    <xf numFmtId="0" fontId="31" fillId="5" borderId="0" xfId="0" applyFont="1" applyFill="1" applyAlignment="1">
      <alignment horizontal="center" vertical="center" wrapText="1"/>
    </xf>
  </cellXfs>
  <cellStyles count="4">
    <cellStyle name="Hiperligação" xfId="3" builtinId="8"/>
    <cellStyle name="Moeda" xfId="1" builtinId="4"/>
    <cellStyle name="Normal" xfId="0" builtinId="0"/>
    <cellStyle name="Percentagem" xfId="2" builtinId="5"/>
  </cellStyles>
  <dxfs count="40"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theme="7" tint="-0.24994659260841701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theme="7" tint="-0.24994659260841701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7" tint="-0.2499465926084170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C00000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0D2037"/>
      <color rgb="FFB8D0EE"/>
      <color rgb="FF2965AD"/>
      <color rgb="FFF87B26"/>
      <color rgb="FFBA5123"/>
      <color rgb="FFBA5132"/>
      <color rgb="FFB48900"/>
      <color rgb="FFDAD5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youtube.com/watch?v=tnasgB0ZplU&amp;t=4366s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2926979</xdr:colOff>
      <xdr:row>1</xdr:row>
      <xdr:rowOff>130721</xdr:rowOff>
    </xdr:from>
    <xdr:ext cx="2361611" cy="685705"/>
    <xdr:pic>
      <xdr:nvPicPr>
        <xdr:cNvPr id="2" name="janua">
          <a:extLst>
            <a:ext uri="{FF2B5EF4-FFF2-40B4-BE49-F238E27FC236}">
              <a16:creationId xmlns:a16="http://schemas.microsoft.com/office/drawing/2014/main" id="{1917CA98-8BF7-49D7-87BB-28BA6950F4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6579" y="522607"/>
          <a:ext cx="2361611" cy="6857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50157</xdr:colOff>
      <xdr:row>0</xdr:row>
      <xdr:rowOff>0</xdr:rowOff>
    </xdr:from>
    <xdr:to>
      <xdr:col>12</xdr:col>
      <xdr:colOff>8256</xdr:colOff>
      <xdr:row>7</xdr:row>
      <xdr:rowOff>43543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0A50114-6BD3-B6EA-43D1-079C82FC23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96186" y="0"/>
          <a:ext cx="1786899" cy="18179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66261</xdr:colOff>
      <xdr:row>0</xdr:row>
      <xdr:rowOff>130135</xdr:rowOff>
    </xdr:from>
    <xdr:to>
      <xdr:col>0</xdr:col>
      <xdr:colOff>1082304</xdr:colOff>
      <xdr:row>0</xdr:row>
      <xdr:rowOff>437322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873716E-4D67-0300-904F-A67B5FF616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261" y="130135"/>
          <a:ext cx="1016043" cy="307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80682</xdr:colOff>
      <xdr:row>0</xdr:row>
      <xdr:rowOff>107577</xdr:rowOff>
    </xdr:from>
    <xdr:to>
      <xdr:col>0</xdr:col>
      <xdr:colOff>1096725</xdr:colOff>
      <xdr:row>1</xdr:row>
      <xdr:rowOff>20317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E82C445-4D1F-44FC-A567-F7B32BD9C8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682" y="107577"/>
          <a:ext cx="1016043" cy="307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152401</xdr:colOff>
      <xdr:row>0</xdr:row>
      <xdr:rowOff>217715</xdr:rowOff>
    </xdr:from>
    <xdr:to>
      <xdr:col>0</xdr:col>
      <xdr:colOff>1164634</xdr:colOff>
      <xdr:row>0</xdr:row>
      <xdr:rowOff>522997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99B3CCA-E75B-4B30-B4B5-ED16B88F50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1" y="217715"/>
          <a:ext cx="1016043" cy="307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193963</xdr:colOff>
      <xdr:row>0</xdr:row>
      <xdr:rowOff>235527</xdr:rowOff>
    </xdr:from>
    <xdr:to>
      <xdr:col>0</xdr:col>
      <xdr:colOff>1206196</xdr:colOff>
      <xdr:row>0</xdr:row>
      <xdr:rowOff>546524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A7E6197-62C6-48C3-854A-A282D09B0F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963" y="235527"/>
          <a:ext cx="1016043" cy="307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710441</xdr:colOff>
      <xdr:row>0</xdr:row>
      <xdr:rowOff>180604</xdr:rowOff>
    </xdr:from>
    <xdr:to>
      <xdr:col>2</xdr:col>
      <xdr:colOff>1731521</xdr:colOff>
      <xdr:row>2</xdr:row>
      <xdr:rowOff>131618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6B931ADA-1AAB-D9EE-3A62-24D39F73D988}"/>
            </a:ext>
          </a:extLst>
        </xdr:cNvPr>
        <xdr:cNvSpPr/>
      </xdr:nvSpPr>
      <xdr:spPr>
        <a:xfrm>
          <a:off x="4908368" y="180604"/>
          <a:ext cx="1021080" cy="435923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00">
              <a:solidFill>
                <a:sysClr val="windowText" lastClr="000000"/>
              </a:solidFill>
            </a:rPr>
            <a:t>LOGO</a:t>
          </a:r>
          <a:r>
            <a:rPr lang="pt-PT" sz="1000" baseline="0">
              <a:solidFill>
                <a:sysClr val="windowText" lastClr="000000"/>
              </a:solidFill>
            </a:rPr>
            <a:t> da tua empresa</a:t>
          </a:r>
          <a:endParaRPr lang="pt-PT" sz="10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2</xdr:row>
          <xdr:rowOff>83820</xdr:rowOff>
        </xdr:from>
        <xdr:to>
          <xdr:col>0</xdr:col>
          <xdr:colOff>1790700</xdr:colOff>
          <xdr:row>5</xdr:row>
          <xdr:rowOff>83820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PT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Descarregar Relatório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490779</xdr:colOff>
      <xdr:row>47</xdr:row>
      <xdr:rowOff>173350</xdr:rowOff>
    </xdr:from>
    <xdr:ext cx="1007390" cy="292501"/>
    <xdr:pic>
      <xdr:nvPicPr>
        <xdr:cNvPr id="3" name="janua">
          <a:extLst>
            <a:ext uri="{FF2B5EF4-FFF2-40B4-BE49-F238E27FC236}">
              <a16:creationId xmlns:a16="http://schemas.microsoft.com/office/drawing/2014/main" id="{CA850E84-61A5-438D-80C9-D236C70831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2915" y="10634706"/>
          <a:ext cx="1007390" cy="2925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772332</xdr:colOff>
      <xdr:row>47</xdr:row>
      <xdr:rowOff>170767</xdr:rowOff>
    </xdr:from>
    <xdr:ext cx="1007390" cy="292501"/>
    <xdr:pic>
      <xdr:nvPicPr>
        <xdr:cNvPr id="4" name="janua">
          <a:extLst>
            <a:ext uri="{FF2B5EF4-FFF2-40B4-BE49-F238E27FC236}">
              <a16:creationId xmlns:a16="http://schemas.microsoft.com/office/drawing/2014/main" id="{5EF77FA8-0AE6-4423-84C5-5195C895E5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91654" y="10632123"/>
          <a:ext cx="1007390" cy="2925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19</xdr:col>
      <xdr:colOff>33579</xdr:colOff>
      <xdr:row>47</xdr:row>
      <xdr:rowOff>168184</xdr:rowOff>
    </xdr:from>
    <xdr:ext cx="1007390" cy="292501"/>
    <xdr:pic>
      <xdr:nvPicPr>
        <xdr:cNvPr id="5" name="janua">
          <a:extLst>
            <a:ext uri="{FF2B5EF4-FFF2-40B4-BE49-F238E27FC236}">
              <a16:creationId xmlns:a16="http://schemas.microsoft.com/office/drawing/2014/main" id="{B4C25ABD-D46B-4E69-A731-D514CA017D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92087" y="10629540"/>
          <a:ext cx="1007390" cy="2925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23</xdr:col>
      <xdr:colOff>1806658</xdr:colOff>
      <xdr:row>47</xdr:row>
      <xdr:rowOff>201026</xdr:rowOff>
    </xdr:from>
    <xdr:ext cx="1007390" cy="292501"/>
    <xdr:pic>
      <xdr:nvPicPr>
        <xdr:cNvPr id="6" name="janua">
          <a:extLst>
            <a:ext uri="{FF2B5EF4-FFF2-40B4-BE49-F238E27FC236}">
              <a16:creationId xmlns:a16="http://schemas.microsoft.com/office/drawing/2014/main" id="{F668209C-018C-4AB6-8CB8-8F62B61187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06544" y="10596883"/>
          <a:ext cx="1007390" cy="2925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29</xdr:col>
      <xdr:colOff>75830</xdr:colOff>
      <xdr:row>48</xdr:row>
      <xdr:rowOff>5083</xdr:rowOff>
    </xdr:from>
    <xdr:ext cx="1007390" cy="292501"/>
    <xdr:pic>
      <xdr:nvPicPr>
        <xdr:cNvPr id="7" name="janua">
          <a:extLst>
            <a:ext uri="{FF2B5EF4-FFF2-40B4-BE49-F238E27FC236}">
              <a16:creationId xmlns:a16="http://schemas.microsoft.com/office/drawing/2014/main" id="{24495FED-48A7-4165-8824-ABF178B0CF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138716" y="10607769"/>
          <a:ext cx="1007390" cy="2925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412377</xdr:colOff>
      <xdr:row>47</xdr:row>
      <xdr:rowOff>155503</xdr:rowOff>
    </xdr:from>
    <xdr:to>
      <xdr:col>4</xdr:col>
      <xdr:colOff>440478</xdr:colOff>
      <xdr:row>49</xdr:row>
      <xdr:rowOff>82234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75F82C3-D608-9E9C-EA28-14143EE2979E}"/>
            </a:ext>
          </a:extLst>
        </xdr:cNvPr>
        <xdr:cNvSpPr/>
      </xdr:nvSpPr>
      <xdr:spPr>
        <a:xfrm>
          <a:off x="6481483" y="10455950"/>
          <a:ext cx="1094901" cy="33910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PT" sz="1200" b="0" cap="none" spc="0">
              <a:ln w="0"/>
              <a:solidFill>
                <a:srgbClr val="0D2037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ontserrat" panose="00000500000000000000" pitchFamily="2" charset="0"/>
            </a:rPr>
            <a:t>powered</a:t>
          </a:r>
          <a:r>
            <a:rPr lang="pt-PT" sz="1200" b="0" cap="none" spc="0" baseline="0">
              <a:ln w="0"/>
              <a:solidFill>
                <a:srgbClr val="0D2037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ontserrat" panose="00000500000000000000" pitchFamily="2" charset="0"/>
            </a:rPr>
            <a:t> by</a:t>
          </a:r>
          <a:endParaRPr lang="pt-PT" sz="1200" b="0" cap="none" spc="0">
            <a:ln w="0"/>
            <a:solidFill>
              <a:srgbClr val="0D2037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Montserrat" panose="00000500000000000000" pitchFamily="2" charset="0"/>
          </a:endParaRPr>
        </a:p>
      </xdr:txBody>
    </xdr:sp>
    <xdr:clientData/>
  </xdr:twoCellAnchor>
  <xdr:twoCellAnchor>
    <xdr:from>
      <xdr:col>11</xdr:col>
      <xdr:colOff>251012</xdr:colOff>
      <xdr:row>47</xdr:row>
      <xdr:rowOff>164468</xdr:rowOff>
    </xdr:from>
    <xdr:to>
      <xdr:col>12</xdr:col>
      <xdr:colOff>736313</xdr:colOff>
      <xdr:row>49</xdr:row>
      <xdr:rowOff>91199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FCA7DCE-D05C-435D-957E-ECF8C1B410F4}"/>
            </a:ext>
          </a:extLst>
        </xdr:cNvPr>
        <xdr:cNvSpPr/>
      </xdr:nvSpPr>
      <xdr:spPr>
        <a:xfrm>
          <a:off x="13456024" y="10464915"/>
          <a:ext cx="1094901" cy="33910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PT" sz="1200" b="0" cap="none" spc="0">
              <a:ln w="0"/>
              <a:solidFill>
                <a:srgbClr val="0D2037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ontserrat" panose="00000500000000000000" pitchFamily="2" charset="0"/>
            </a:rPr>
            <a:t>powered</a:t>
          </a:r>
          <a:r>
            <a:rPr lang="pt-PT" sz="1200" b="0" cap="none" spc="0" baseline="0">
              <a:ln w="0"/>
              <a:solidFill>
                <a:srgbClr val="0D2037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ontserrat" panose="00000500000000000000" pitchFamily="2" charset="0"/>
            </a:rPr>
            <a:t> by</a:t>
          </a:r>
          <a:endParaRPr lang="pt-PT" sz="1200" b="0" cap="none" spc="0">
            <a:ln w="0"/>
            <a:solidFill>
              <a:srgbClr val="0D2037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Montserrat" panose="00000500000000000000" pitchFamily="2" charset="0"/>
          </a:endParaRPr>
        </a:p>
      </xdr:txBody>
    </xdr:sp>
    <xdr:clientData/>
  </xdr:twoCellAnchor>
  <xdr:twoCellAnchor>
    <xdr:from>
      <xdr:col>18</xdr:col>
      <xdr:colOff>0</xdr:colOff>
      <xdr:row>47</xdr:row>
      <xdr:rowOff>164468</xdr:rowOff>
    </xdr:from>
    <xdr:to>
      <xdr:col>19</xdr:col>
      <xdr:colOff>10172</xdr:colOff>
      <xdr:row>49</xdr:row>
      <xdr:rowOff>91199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6B7A952C-7FEF-4674-A158-8838E038F0FA}"/>
            </a:ext>
          </a:extLst>
        </xdr:cNvPr>
        <xdr:cNvSpPr/>
      </xdr:nvSpPr>
      <xdr:spPr>
        <a:xfrm>
          <a:off x="20179553" y="10464915"/>
          <a:ext cx="1094901" cy="33910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PT" sz="1200" b="0" cap="none" spc="0">
              <a:ln w="0"/>
              <a:solidFill>
                <a:srgbClr val="0D2037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ontserrat" panose="00000500000000000000" pitchFamily="2" charset="0"/>
            </a:rPr>
            <a:t>powered</a:t>
          </a:r>
          <a:r>
            <a:rPr lang="pt-PT" sz="1200" b="0" cap="none" spc="0" baseline="0">
              <a:ln w="0"/>
              <a:solidFill>
                <a:srgbClr val="0D2037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ontserrat" panose="00000500000000000000" pitchFamily="2" charset="0"/>
            </a:rPr>
            <a:t> by</a:t>
          </a:r>
          <a:endParaRPr lang="pt-PT" sz="1200" b="0" cap="none" spc="0">
            <a:ln w="0"/>
            <a:solidFill>
              <a:srgbClr val="0D2037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Montserrat" panose="00000500000000000000" pitchFamily="2" charset="0"/>
          </a:endParaRPr>
        </a:p>
      </xdr:txBody>
    </xdr:sp>
    <xdr:clientData/>
  </xdr:twoCellAnchor>
  <xdr:twoCellAnchor>
    <xdr:from>
      <xdr:col>23</xdr:col>
      <xdr:colOff>708212</xdr:colOff>
      <xdr:row>47</xdr:row>
      <xdr:rowOff>191362</xdr:rowOff>
    </xdr:from>
    <xdr:to>
      <xdr:col>23</xdr:col>
      <xdr:colOff>1803113</xdr:colOff>
      <xdr:row>49</xdr:row>
      <xdr:rowOff>118093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A4DC0F98-27E3-4D9C-9C1F-458AB417DDE7}"/>
            </a:ext>
          </a:extLst>
        </xdr:cNvPr>
        <xdr:cNvSpPr/>
      </xdr:nvSpPr>
      <xdr:spPr>
        <a:xfrm>
          <a:off x="27028588" y="10491809"/>
          <a:ext cx="1094901" cy="33910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PT" sz="1200" b="0" cap="none" spc="0">
              <a:ln w="0"/>
              <a:solidFill>
                <a:srgbClr val="0D2037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ontserrat" panose="00000500000000000000" pitchFamily="2" charset="0"/>
            </a:rPr>
            <a:t>powered</a:t>
          </a:r>
          <a:r>
            <a:rPr lang="pt-PT" sz="1200" b="0" cap="none" spc="0" baseline="0">
              <a:ln w="0"/>
              <a:solidFill>
                <a:srgbClr val="0D2037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ontserrat" panose="00000500000000000000" pitchFamily="2" charset="0"/>
            </a:rPr>
            <a:t> by</a:t>
          </a:r>
          <a:endParaRPr lang="pt-PT" sz="1200" b="0" cap="none" spc="0">
            <a:ln w="0"/>
            <a:solidFill>
              <a:srgbClr val="0D2037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Montserrat" panose="00000500000000000000" pitchFamily="2" charset="0"/>
          </a:endParaRPr>
        </a:p>
      </xdr:txBody>
    </xdr:sp>
    <xdr:clientData/>
  </xdr:twoCellAnchor>
  <xdr:twoCellAnchor>
    <xdr:from>
      <xdr:col>28</xdr:col>
      <xdr:colOff>8964</xdr:colOff>
      <xdr:row>48</xdr:row>
      <xdr:rowOff>3104</xdr:rowOff>
    </xdr:from>
    <xdr:to>
      <xdr:col>29</xdr:col>
      <xdr:colOff>63959</xdr:colOff>
      <xdr:row>49</xdr:row>
      <xdr:rowOff>136023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74336633-3EA4-425F-A881-FCB821F01322}"/>
            </a:ext>
          </a:extLst>
        </xdr:cNvPr>
        <xdr:cNvSpPr/>
      </xdr:nvSpPr>
      <xdr:spPr>
        <a:xfrm>
          <a:off x="34047952" y="10509739"/>
          <a:ext cx="1094901" cy="33910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PT" sz="1200" b="0" cap="none" spc="0">
              <a:ln w="0"/>
              <a:solidFill>
                <a:srgbClr val="0D2037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ontserrat" panose="00000500000000000000" pitchFamily="2" charset="0"/>
            </a:rPr>
            <a:t>powered</a:t>
          </a:r>
          <a:r>
            <a:rPr lang="pt-PT" sz="1200" b="0" cap="none" spc="0" baseline="0">
              <a:ln w="0"/>
              <a:solidFill>
                <a:srgbClr val="0D2037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ontserrat" panose="00000500000000000000" pitchFamily="2" charset="0"/>
            </a:rPr>
            <a:t> by</a:t>
          </a:r>
          <a:endParaRPr lang="pt-PT" sz="1200" b="0" cap="none" spc="0">
            <a:ln w="0"/>
            <a:solidFill>
              <a:srgbClr val="0D2037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Montserrat" panose="00000500000000000000" pitchFamily="2" charset="0"/>
          </a:endParaRPr>
        </a:p>
      </xdr:txBody>
    </xdr:sp>
    <xdr:clientData/>
  </xdr:twoCellAnchor>
  <xdr:twoCellAnchor>
    <xdr:from>
      <xdr:col>0</xdr:col>
      <xdr:colOff>502920</xdr:colOff>
      <xdr:row>6</xdr:row>
      <xdr:rowOff>121920</xdr:rowOff>
    </xdr:from>
    <xdr:to>
      <xdr:col>0</xdr:col>
      <xdr:colOff>1417320</xdr:colOff>
      <xdr:row>16</xdr:row>
      <xdr:rowOff>45720</xdr:rowOff>
    </xdr:to>
    <xdr:sp macro="" textlink="">
      <xdr:nvSpPr>
        <xdr:cNvPr id="13" name="Seta: Para Cima 12">
          <a:extLst>
            <a:ext uri="{FF2B5EF4-FFF2-40B4-BE49-F238E27FC236}">
              <a16:creationId xmlns:a16="http://schemas.microsoft.com/office/drawing/2014/main" id="{F6498CCE-8B77-01AB-3009-C7E0B4379264}"/>
            </a:ext>
          </a:extLst>
        </xdr:cNvPr>
        <xdr:cNvSpPr/>
      </xdr:nvSpPr>
      <xdr:spPr>
        <a:xfrm>
          <a:off x="502920" y="1600200"/>
          <a:ext cx="914400" cy="2057400"/>
        </a:xfrm>
        <a:prstGeom prst="upArrow">
          <a:avLst/>
        </a:prstGeom>
        <a:solidFill>
          <a:srgbClr val="0D203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anua.pt/questionariopack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1C23D-A755-4CB4-B69F-5C8C9E8D118B}">
  <sheetPr codeName="Folha1">
    <tabColor rgb="FFDAD5D2"/>
  </sheetPr>
  <dimension ref="A1:BHZ56"/>
  <sheetViews>
    <sheetView topLeftCell="A34" zoomScale="85" zoomScaleNormal="85" workbookViewId="0">
      <selection activeCell="L11" sqref="L11"/>
    </sheetView>
  </sheetViews>
  <sheetFormatPr defaultRowHeight="16.8" x14ac:dyDescent="0.4"/>
  <cols>
    <col min="1" max="1" width="8.88671875" style="250"/>
    <col min="2" max="2" width="58.5546875" style="251" bestFit="1" customWidth="1"/>
    <col min="3" max="8" width="8.88671875" style="251"/>
    <col min="9" max="9" width="11.109375" style="251" customWidth="1"/>
    <col min="10" max="1586" width="8.88671875" style="250"/>
    <col min="1587" max="16384" width="8.88671875" style="251"/>
  </cols>
  <sheetData>
    <row r="1" spans="2:13" s="250" customFormat="1" ht="30.6" customHeight="1" x14ac:dyDescent="0.4"/>
    <row r="2" spans="2:13" x14ac:dyDescent="0.4">
      <c r="B2" s="308"/>
      <c r="C2" s="308"/>
      <c r="D2" s="308"/>
      <c r="E2" s="308"/>
      <c r="F2" s="308"/>
      <c r="G2" s="308"/>
      <c r="H2" s="308"/>
      <c r="I2" s="308"/>
    </row>
    <row r="3" spans="2:13" x14ac:dyDescent="0.4">
      <c r="B3" s="308"/>
      <c r="C3" s="308"/>
      <c r="D3" s="308"/>
      <c r="E3" s="308"/>
      <c r="F3" s="308"/>
      <c r="G3" s="308"/>
      <c r="H3" s="308"/>
      <c r="I3" s="308"/>
    </row>
    <row r="4" spans="2:13" x14ac:dyDescent="0.4">
      <c r="B4" s="308"/>
      <c r="C4" s="308"/>
      <c r="D4" s="308"/>
      <c r="E4" s="308"/>
      <c r="F4" s="308"/>
      <c r="G4" s="308"/>
      <c r="H4" s="308"/>
      <c r="I4" s="308"/>
      <c r="M4" s="298" t="s">
        <v>389</v>
      </c>
    </row>
    <row r="5" spans="2:13" x14ac:dyDescent="0.4">
      <c r="B5" s="308"/>
      <c r="C5" s="308"/>
      <c r="D5" s="308"/>
      <c r="E5" s="308"/>
      <c r="F5" s="308"/>
      <c r="G5" s="308"/>
      <c r="H5" s="308"/>
      <c r="I5" s="308"/>
    </row>
    <row r="6" spans="2:13" x14ac:dyDescent="0.4">
      <c r="B6" s="250"/>
      <c r="C6" s="250"/>
      <c r="D6" s="250"/>
      <c r="E6" s="250"/>
      <c r="F6" s="250"/>
      <c r="G6" s="250"/>
      <c r="H6" s="250"/>
      <c r="I6" s="250"/>
    </row>
    <row r="7" spans="2:13" ht="23.4" x14ac:dyDescent="0.55000000000000004">
      <c r="B7" s="252" t="s">
        <v>392</v>
      </c>
      <c r="C7" s="311" t="s">
        <v>394</v>
      </c>
      <c r="D7" s="308"/>
      <c r="E7" s="308"/>
      <c r="F7" s="308"/>
      <c r="G7" s="308"/>
      <c r="H7" s="308"/>
      <c r="I7" s="308"/>
    </row>
    <row r="8" spans="2:13" x14ac:dyDescent="0.4">
      <c r="B8" s="309" t="s">
        <v>393</v>
      </c>
      <c r="C8" s="309"/>
      <c r="D8" s="309"/>
      <c r="E8" s="309"/>
      <c r="F8" s="309"/>
      <c r="G8" s="309"/>
      <c r="H8" s="309"/>
      <c r="I8" s="309"/>
    </row>
    <row r="9" spans="2:13" x14ac:dyDescent="0.4">
      <c r="B9" s="309"/>
      <c r="C9" s="309"/>
      <c r="D9" s="309"/>
      <c r="E9" s="309"/>
      <c r="F9" s="309"/>
      <c r="G9" s="309"/>
      <c r="H9" s="309"/>
      <c r="I9" s="309"/>
    </row>
    <row r="10" spans="2:13" x14ac:dyDescent="0.4">
      <c r="B10" s="309"/>
      <c r="C10" s="309"/>
      <c r="D10" s="309"/>
      <c r="E10" s="309"/>
      <c r="F10" s="309"/>
      <c r="G10" s="309"/>
      <c r="H10" s="309"/>
      <c r="I10" s="309"/>
    </row>
    <row r="11" spans="2:13" s="250" customFormat="1" x14ac:dyDescent="0.4"/>
    <row r="12" spans="2:13" ht="23.4" x14ac:dyDescent="0.55000000000000004">
      <c r="B12" s="252" t="s">
        <v>382</v>
      </c>
      <c r="C12" s="308"/>
      <c r="D12" s="308"/>
      <c r="E12" s="308"/>
      <c r="F12" s="308"/>
      <c r="G12" s="308"/>
      <c r="H12" s="308"/>
      <c r="I12" s="308"/>
    </row>
    <row r="13" spans="2:13" ht="16.8" customHeight="1" x14ac:dyDescent="0.4">
      <c r="B13" s="309" t="s">
        <v>383</v>
      </c>
      <c r="C13" s="309"/>
      <c r="D13" s="309"/>
      <c r="E13" s="309"/>
      <c r="F13" s="309"/>
      <c r="G13" s="309"/>
      <c r="H13" s="309"/>
      <c r="I13" s="309"/>
    </row>
    <row r="14" spans="2:13" x14ac:dyDescent="0.4">
      <c r="B14" s="309"/>
      <c r="C14" s="309"/>
      <c r="D14" s="309"/>
      <c r="E14" s="309"/>
      <c r="F14" s="309"/>
      <c r="G14" s="309"/>
      <c r="H14" s="309"/>
      <c r="I14" s="309"/>
    </row>
    <row r="15" spans="2:13" x14ac:dyDescent="0.4">
      <c r="B15" s="309"/>
      <c r="C15" s="309"/>
      <c r="D15" s="309"/>
      <c r="E15" s="309"/>
      <c r="F15" s="309"/>
      <c r="G15" s="309"/>
      <c r="H15" s="309"/>
      <c r="I15" s="309"/>
    </row>
    <row r="16" spans="2:13" s="250" customFormat="1" x14ac:dyDescent="0.4"/>
    <row r="17" spans="2:9" ht="23.4" x14ac:dyDescent="0.4">
      <c r="B17" s="254" t="s">
        <v>384</v>
      </c>
      <c r="C17" s="308"/>
      <c r="D17" s="308"/>
      <c r="E17" s="308"/>
      <c r="F17" s="308"/>
      <c r="G17" s="308"/>
      <c r="H17" s="308"/>
      <c r="I17" s="308"/>
    </row>
    <row r="18" spans="2:9" ht="16.8" customHeight="1" x14ac:dyDescent="0.4">
      <c r="B18" s="309" t="s">
        <v>385</v>
      </c>
      <c r="C18" s="309"/>
      <c r="D18" s="309"/>
      <c r="E18" s="309"/>
      <c r="F18" s="309"/>
      <c r="G18" s="309"/>
      <c r="H18" s="309"/>
      <c r="I18" s="309"/>
    </row>
    <row r="19" spans="2:9" x14ac:dyDescent="0.4">
      <c r="B19" s="309"/>
      <c r="C19" s="309"/>
      <c r="D19" s="309"/>
      <c r="E19" s="309"/>
      <c r="F19" s="309"/>
      <c r="G19" s="309"/>
      <c r="H19" s="309"/>
      <c r="I19" s="309"/>
    </row>
    <row r="20" spans="2:9" x14ac:dyDescent="0.4">
      <c r="B20" s="309"/>
      <c r="C20" s="309"/>
      <c r="D20" s="309"/>
      <c r="E20" s="309"/>
      <c r="F20" s="309"/>
      <c r="G20" s="309"/>
      <c r="H20" s="309"/>
      <c r="I20" s="309"/>
    </row>
    <row r="21" spans="2:9" x14ac:dyDescent="0.4">
      <c r="B21" s="309"/>
      <c r="C21" s="309"/>
      <c r="D21" s="309"/>
      <c r="E21" s="309"/>
      <c r="F21" s="309"/>
      <c r="G21" s="309"/>
      <c r="H21" s="309"/>
      <c r="I21" s="309"/>
    </row>
    <row r="22" spans="2:9" x14ac:dyDescent="0.4">
      <c r="B22" s="309"/>
      <c r="C22" s="309"/>
      <c r="D22" s="309"/>
      <c r="E22" s="309"/>
      <c r="F22" s="309"/>
      <c r="G22" s="309"/>
      <c r="H22" s="309"/>
      <c r="I22" s="309"/>
    </row>
    <row r="23" spans="2:9" x14ac:dyDescent="0.4">
      <c r="B23" s="309"/>
      <c r="C23" s="309"/>
      <c r="D23" s="309"/>
      <c r="E23" s="309"/>
      <c r="F23" s="309"/>
      <c r="G23" s="309"/>
      <c r="H23" s="309"/>
      <c r="I23" s="309"/>
    </row>
    <row r="24" spans="2:9" x14ac:dyDescent="0.4">
      <c r="B24" s="309"/>
      <c r="C24" s="309"/>
      <c r="D24" s="309"/>
      <c r="E24" s="309"/>
      <c r="F24" s="309"/>
      <c r="G24" s="309"/>
      <c r="H24" s="309"/>
      <c r="I24" s="309"/>
    </row>
    <row r="25" spans="2:9" s="250" customFormat="1" x14ac:dyDescent="0.4">
      <c r="B25" s="253"/>
      <c r="C25" s="253"/>
      <c r="D25" s="253"/>
      <c r="E25" s="253"/>
      <c r="F25" s="253"/>
      <c r="G25" s="253"/>
      <c r="H25" s="253"/>
      <c r="I25" s="253"/>
    </row>
    <row r="26" spans="2:9" ht="23.4" x14ac:dyDescent="0.55000000000000004">
      <c r="B26" s="252" t="s">
        <v>386</v>
      </c>
      <c r="C26" s="308"/>
      <c r="D26" s="308"/>
      <c r="E26" s="308"/>
      <c r="F26" s="308"/>
      <c r="G26" s="308"/>
      <c r="H26" s="308"/>
      <c r="I26" s="308"/>
    </row>
    <row r="27" spans="2:9" ht="16.8" customHeight="1" x14ac:dyDescent="0.4">
      <c r="B27" s="310" t="s">
        <v>387</v>
      </c>
      <c r="C27" s="310"/>
      <c r="D27" s="310"/>
      <c r="E27" s="310"/>
      <c r="F27" s="310"/>
      <c r="G27" s="310"/>
      <c r="H27" s="310"/>
      <c r="I27" s="310"/>
    </row>
    <row r="28" spans="2:9" x14ac:dyDescent="0.4">
      <c r="B28" s="310"/>
      <c r="C28" s="310"/>
      <c r="D28" s="310"/>
      <c r="E28" s="310"/>
      <c r="F28" s="310"/>
      <c r="G28" s="310"/>
      <c r="H28" s="310"/>
      <c r="I28" s="310"/>
    </row>
    <row r="29" spans="2:9" x14ac:dyDescent="0.4">
      <c r="B29" s="310"/>
      <c r="C29" s="310"/>
      <c r="D29" s="310"/>
      <c r="E29" s="310"/>
      <c r="F29" s="310"/>
      <c r="G29" s="310"/>
      <c r="H29" s="310"/>
      <c r="I29" s="310"/>
    </row>
    <row r="30" spans="2:9" x14ac:dyDescent="0.4">
      <c r="B30" s="310"/>
      <c r="C30" s="310"/>
      <c r="D30" s="310"/>
      <c r="E30" s="310"/>
      <c r="F30" s="310"/>
      <c r="G30" s="310"/>
      <c r="H30" s="310"/>
      <c r="I30" s="310"/>
    </row>
    <row r="31" spans="2:9" x14ac:dyDescent="0.4">
      <c r="B31" s="310"/>
      <c r="C31" s="310"/>
      <c r="D31" s="310"/>
      <c r="E31" s="310"/>
      <c r="F31" s="310"/>
      <c r="G31" s="310"/>
      <c r="H31" s="310"/>
      <c r="I31" s="310"/>
    </row>
    <row r="32" spans="2:9" x14ac:dyDescent="0.4">
      <c r="B32" s="310"/>
      <c r="C32" s="310"/>
      <c r="D32" s="310"/>
      <c r="E32" s="310"/>
      <c r="F32" s="310"/>
      <c r="G32" s="310"/>
      <c r="H32" s="310"/>
      <c r="I32" s="310"/>
    </row>
    <row r="33" spans="2:9" x14ac:dyDescent="0.4">
      <c r="B33" s="310"/>
      <c r="C33" s="310"/>
      <c r="D33" s="310"/>
      <c r="E33" s="310"/>
      <c r="F33" s="310"/>
      <c r="G33" s="310"/>
      <c r="H33" s="310"/>
      <c r="I33" s="310"/>
    </row>
    <row r="34" spans="2:9" x14ac:dyDescent="0.4">
      <c r="B34" s="310"/>
      <c r="C34" s="310"/>
      <c r="D34" s="310"/>
      <c r="E34" s="310"/>
      <c r="F34" s="310"/>
      <c r="G34" s="310"/>
      <c r="H34" s="310"/>
      <c r="I34" s="310"/>
    </row>
    <row r="35" spans="2:9" x14ac:dyDescent="0.4">
      <c r="B35" s="310"/>
      <c r="C35" s="310"/>
      <c r="D35" s="310"/>
      <c r="E35" s="310"/>
      <c r="F35" s="310"/>
      <c r="G35" s="310"/>
      <c r="H35" s="310"/>
      <c r="I35" s="310"/>
    </row>
    <row r="36" spans="2:9" x14ac:dyDescent="0.4">
      <c r="B36" s="310"/>
      <c r="C36" s="310"/>
      <c r="D36" s="310"/>
      <c r="E36" s="310"/>
      <c r="F36" s="310"/>
      <c r="G36" s="310"/>
      <c r="H36" s="310"/>
      <c r="I36" s="310"/>
    </row>
    <row r="37" spans="2:9" x14ac:dyDescent="0.4">
      <c r="B37" s="310"/>
      <c r="C37" s="310"/>
      <c r="D37" s="310"/>
      <c r="E37" s="310"/>
      <c r="F37" s="310"/>
      <c r="G37" s="310"/>
      <c r="H37" s="310"/>
      <c r="I37" s="310"/>
    </row>
    <row r="38" spans="2:9" x14ac:dyDescent="0.4">
      <c r="B38" s="310"/>
      <c r="C38" s="310"/>
      <c r="D38" s="310"/>
      <c r="E38" s="310"/>
      <c r="F38" s="310"/>
      <c r="G38" s="310"/>
      <c r="H38" s="310"/>
      <c r="I38" s="310"/>
    </row>
    <row r="39" spans="2:9" x14ac:dyDescent="0.4">
      <c r="B39" s="310"/>
      <c r="C39" s="310"/>
      <c r="D39" s="310"/>
      <c r="E39" s="310"/>
      <c r="F39" s="310"/>
      <c r="G39" s="310"/>
      <c r="H39" s="310"/>
      <c r="I39" s="310"/>
    </row>
    <row r="40" spans="2:9" x14ac:dyDescent="0.4">
      <c r="B40" s="310"/>
      <c r="C40" s="310"/>
      <c r="D40" s="310"/>
      <c r="E40" s="310"/>
      <c r="F40" s="310"/>
      <c r="G40" s="310"/>
      <c r="H40" s="310"/>
      <c r="I40" s="310"/>
    </row>
    <row r="41" spans="2:9" x14ac:dyDescent="0.4">
      <c r="B41" s="310"/>
      <c r="C41" s="310"/>
      <c r="D41" s="310"/>
      <c r="E41" s="310"/>
      <c r="F41" s="310"/>
      <c r="G41" s="310"/>
      <c r="H41" s="310"/>
      <c r="I41" s="310"/>
    </row>
    <row r="42" spans="2:9" x14ac:dyDescent="0.4">
      <c r="B42" s="310"/>
      <c r="C42" s="310"/>
      <c r="D42" s="310"/>
      <c r="E42" s="310"/>
      <c r="F42" s="310"/>
      <c r="G42" s="310"/>
      <c r="H42" s="310"/>
      <c r="I42" s="310"/>
    </row>
    <row r="43" spans="2:9" s="250" customFormat="1" x14ac:dyDescent="0.4"/>
    <row r="44" spans="2:9" ht="23.4" x14ac:dyDescent="0.4">
      <c r="B44" s="254" t="s">
        <v>388</v>
      </c>
      <c r="C44" s="308"/>
      <c r="D44" s="308"/>
      <c r="E44" s="308"/>
      <c r="F44" s="308"/>
      <c r="G44" s="308"/>
      <c r="H44" s="308"/>
      <c r="I44" s="308"/>
    </row>
    <row r="45" spans="2:9" ht="16.8" customHeight="1" x14ac:dyDescent="0.4">
      <c r="B45" s="309" t="s">
        <v>391</v>
      </c>
      <c r="C45" s="309"/>
      <c r="D45" s="309"/>
      <c r="E45" s="309"/>
      <c r="F45" s="309"/>
      <c r="G45" s="309"/>
      <c r="H45" s="309"/>
      <c r="I45" s="309"/>
    </row>
    <row r="46" spans="2:9" ht="16.8" customHeight="1" x14ac:dyDescent="0.4">
      <c r="B46" s="309"/>
      <c r="C46" s="309"/>
      <c r="D46" s="309"/>
      <c r="E46" s="309"/>
      <c r="F46" s="309"/>
      <c r="G46" s="309"/>
      <c r="H46" s="309"/>
      <c r="I46" s="309"/>
    </row>
    <row r="47" spans="2:9" ht="16.8" customHeight="1" x14ac:dyDescent="0.4">
      <c r="B47" s="309"/>
      <c r="C47" s="309"/>
      <c r="D47" s="309"/>
      <c r="E47" s="309"/>
      <c r="F47" s="309"/>
      <c r="G47" s="309"/>
      <c r="H47" s="309"/>
      <c r="I47" s="309"/>
    </row>
    <row r="48" spans="2:9" x14ac:dyDescent="0.4">
      <c r="B48" s="309"/>
      <c r="C48" s="309"/>
      <c r="D48" s="309"/>
      <c r="E48" s="309"/>
      <c r="F48" s="309"/>
      <c r="G48" s="309"/>
      <c r="H48" s="309"/>
      <c r="I48" s="309"/>
    </row>
    <row r="49" spans="2:9" x14ac:dyDescent="0.4">
      <c r="B49" s="309"/>
      <c r="C49" s="309"/>
      <c r="D49" s="309"/>
      <c r="E49" s="309"/>
      <c r="F49" s="309"/>
      <c r="G49" s="309"/>
      <c r="H49" s="309"/>
      <c r="I49" s="309"/>
    </row>
    <row r="50" spans="2:9" x14ac:dyDescent="0.4">
      <c r="B50" s="309"/>
      <c r="C50" s="309"/>
      <c r="D50" s="309"/>
      <c r="E50" s="309"/>
      <c r="F50" s="309"/>
      <c r="G50" s="309"/>
      <c r="H50" s="309"/>
      <c r="I50" s="309"/>
    </row>
    <row r="51" spans="2:9" x14ac:dyDescent="0.4">
      <c r="B51" s="309"/>
      <c r="C51" s="309"/>
      <c r="D51" s="309"/>
      <c r="E51" s="309"/>
      <c r="F51" s="309"/>
      <c r="G51" s="309"/>
      <c r="H51" s="309"/>
      <c r="I51" s="309"/>
    </row>
    <row r="52" spans="2:9" x14ac:dyDescent="0.4">
      <c r="B52" s="309"/>
      <c r="C52" s="309"/>
      <c r="D52" s="309"/>
      <c r="E52" s="309"/>
      <c r="F52" s="309"/>
      <c r="G52" s="309"/>
      <c r="H52" s="309"/>
      <c r="I52" s="309"/>
    </row>
    <row r="53" spans="2:9" x14ac:dyDescent="0.4">
      <c r="B53" s="309"/>
      <c r="C53" s="309"/>
      <c r="D53" s="309"/>
      <c r="E53" s="309"/>
      <c r="F53" s="309"/>
      <c r="G53" s="309"/>
      <c r="H53" s="309"/>
      <c r="I53" s="309"/>
    </row>
    <row r="54" spans="2:9" x14ac:dyDescent="0.4">
      <c r="B54" s="309"/>
      <c r="C54" s="309"/>
      <c r="D54" s="309"/>
      <c r="E54" s="309"/>
      <c r="F54" s="309"/>
      <c r="G54" s="309"/>
      <c r="H54" s="309"/>
      <c r="I54" s="309"/>
    </row>
    <row r="55" spans="2:9" x14ac:dyDescent="0.4">
      <c r="B55" s="309"/>
      <c r="C55" s="309"/>
      <c r="D55" s="309"/>
      <c r="E55" s="309"/>
      <c r="F55" s="309"/>
      <c r="G55" s="309"/>
      <c r="H55" s="309"/>
      <c r="I55" s="309"/>
    </row>
    <row r="56" spans="2:9" s="250" customFormat="1" x14ac:dyDescent="0.4"/>
  </sheetData>
  <mergeCells count="11">
    <mergeCell ref="C44:I44"/>
    <mergeCell ref="B45:I55"/>
    <mergeCell ref="C17:I17"/>
    <mergeCell ref="B2:I5"/>
    <mergeCell ref="C12:I12"/>
    <mergeCell ref="C26:I26"/>
    <mergeCell ref="B27:I42"/>
    <mergeCell ref="B13:I15"/>
    <mergeCell ref="B18:I24"/>
    <mergeCell ref="C7:I7"/>
    <mergeCell ref="B8:I10"/>
  </mergeCells>
  <hyperlinks>
    <hyperlink ref="C7" r:id="rId1" xr:uid="{7149F8B6-CAA4-4908-ABC6-1F669ABD6A2F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2">
    <tabColor theme="7" tint="0.39997558519241921"/>
  </sheetPr>
  <dimension ref="A1:O70"/>
  <sheetViews>
    <sheetView tabSelected="1" topLeftCell="A8" zoomScale="70" zoomScaleNormal="70" workbookViewId="0">
      <selection activeCell="E19" sqref="E19"/>
    </sheetView>
  </sheetViews>
  <sheetFormatPr defaultRowHeight="15.6" x14ac:dyDescent="0.3"/>
  <cols>
    <col min="1" max="1" width="16.109375" style="244" customWidth="1"/>
    <col min="2" max="2" width="9.88671875" style="1" bestFit="1" customWidth="1"/>
    <col min="3" max="3" width="51.109375" style="2" customWidth="1"/>
    <col min="4" max="4" width="8.88671875" style="2"/>
    <col min="5" max="7" width="15.88671875" style="2" customWidth="1"/>
    <col min="8" max="8" width="13" style="2" customWidth="1"/>
    <col min="9" max="9" width="48.88671875" style="2" customWidth="1"/>
    <col min="10" max="10" width="23.21875" style="2" customWidth="1"/>
    <col min="11" max="13" width="20.77734375" style="2" customWidth="1"/>
    <col min="14" max="14" width="8.88671875" style="2"/>
    <col min="15" max="15" width="136.21875" style="2" bestFit="1" customWidth="1"/>
    <col min="16" max="16384" width="8.88671875" style="2"/>
  </cols>
  <sheetData>
    <row r="1" spans="1:15" s="244" customFormat="1" ht="36" customHeight="1" thickBot="1" x14ac:dyDescent="0.35">
      <c r="A1" s="9"/>
      <c r="B1" s="245"/>
    </row>
    <row r="2" spans="1:15" ht="16.2" thickBot="1" x14ac:dyDescent="0.35">
      <c r="B2" s="361" t="s">
        <v>178</v>
      </c>
      <c r="C2" s="362"/>
      <c r="D2" s="324" t="s">
        <v>200</v>
      </c>
      <c r="E2" s="324"/>
      <c r="F2" s="324"/>
      <c r="G2" s="325"/>
    </row>
    <row r="3" spans="1:15" ht="18.600000000000001" thickBot="1" x14ac:dyDescent="0.35">
      <c r="B3" s="333" t="s">
        <v>1</v>
      </c>
      <c r="C3" s="334"/>
      <c r="D3" s="334"/>
      <c r="E3" s="334"/>
      <c r="F3" s="335"/>
      <c r="G3" s="336"/>
      <c r="I3" s="356" t="s">
        <v>92</v>
      </c>
      <c r="J3" s="349" t="s">
        <v>98</v>
      </c>
      <c r="K3" s="350"/>
      <c r="L3" s="350"/>
      <c r="M3" s="351"/>
      <c r="O3" s="3" t="s">
        <v>99</v>
      </c>
    </row>
    <row r="4" spans="1:15" ht="16.2" thickBot="1" x14ac:dyDescent="0.35">
      <c r="B4" s="326" t="s">
        <v>319</v>
      </c>
      <c r="C4" s="327"/>
      <c r="D4" s="61" t="s">
        <v>54</v>
      </c>
      <c r="E4" s="61" t="s">
        <v>55</v>
      </c>
      <c r="F4" s="61" t="s">
        <v>56</v>
      </c>
      <c r="G4" s="62" t="s">
        <v>315</v>
      </c>
      <c r="I4" s="357"/>
      <c r="J4" s="352" t="s">
        <v>319</v>
      </c>
      <c r="K4" s="353"/>
      <c r="L4" s="354" t="s">
        <v>319</v>
      </c>
      <c r="M4" s="355"/>
      <c r="O4" s="4" t="s">
        <v>100</v>
      </c>
    </row>
    <row r="5" spans="1:15" ht="16.2" thickBot="1" x14ac:dyDescent="0.35">
      <c r="B5" s="328" t="s">
        <v>26</v>
      </c>
      <c r="C5" s="329"/>
      <c r="D5" s="330"/>
      <c r="E5" s="56"/>
      <c r="F5" s="56"/>
      <c r="G5" s="57"/>
      <c r="I5" s="358" t="s">
        <v>86</v>
      </c>
      <c r="J5" s="342" t="s">
        <v>172</v>
      </c>
      <c r="K5" s="343"/>
      <c r="L5" s="342" t="s">
        <v>93</v>
      </c>
      <c r="M5" s="344"/>
      <c r="O5" s="4" t="s">
        <v>101</v>
      </c>
    </row>
    <row r="6" spans="1:15" ht="16.2" thickBot="1" x14ac:dyDescent="0.35">
      <c r="B6" s="314" t="s">
        <v>2</v>
      </c>
      <c r="C6" s="315"/>
      <c r="D6" s="331"/>
      <c r="E6" s="58">
        <f>SUM(E7:E15)</f>
        <v>239098</v>
      </c>
      <c r="F6" s="58">
        <f t="shared" ref="F6:G6" si="0">SUM(F7:F15)</f>
        <v>197206</v>
      </c>
      <c r="G6" s="303">
        <f t="shared" si="0"/>
        <v>226390</v>
      </c>
      <c r="I6" s="348"/>
      <c r="J6" s="345">
        <f>$E$7+$E$10+$E$8+$E$9+$E$11+$E$12+$E$13+$E$14+$E$15</f>
        <v>239098</v>
      </c>
      <c r="K6" s="346"/>
      <c r="L6" s="345">
        <f>E47+E50</f>
        <v>272790</v>
      </c>
      <c r="M6" s="347"/>
      <c r="O6" s="4" t="s">
        <v>102</v>
      </c>
    </row>
    <row r="7" spans="1:15" ht="15.6" customHeight="1" thickBot="1" x14ac:dyDescent="0.35">
      <c r="B7" s="312" t="s">
        <v>3</v>
      </c>
      <c r="C7" s="313"/>
      <c r="D7" s="331"/>
      <c r="E7" s="255">
        <v>135373</v>
      </c>
      <c r="F7" s="255">
        <v>136070</v>
      </c>
      <c r="G7" s="258">
        <v>176889</v>
      </c>
      <c r="I7" s="63" t="s">
        <v>89</v>
      </c>
      <c r="J7" s="339">
        <f>L6-J6</f>
        <v>33692</v>
      </c>
      <c r="K7" s="340"/>
      <c r="L7" s="340"/>
      <c r="M7" s="341"/>
      <c r="O7" s="4" t="s">
        <v>103</v>
      </c>
    </row>
    <row r="8" spans="1:15" ht="16.2" thickBot="1" x14ac:dyDescent="0.35">
      <c r="B8" s="312" t="s">
        <v>4</v>
      </c>
      <c r="C8" s="313"/>
      <c r="D8" s="331"/>
      <c r="E8" s="255">
        <v>75156</v>
      </c>
      <c r="F8" s="255">
        <v>39440</v>
      </c>
      <c r="G8" s="258">
        <v>30467</v>
      </c>
      <c r="I8" s="348" t="s">
        <v>87</v>
      </c>
      <c r="J8" s="342" t="s">
        <v>94</v>
      </c>
      <c r="K8" s="343"/>
      <c r="L8" s="342" t="s">
        <v>95</v>
      </c>
      <c r="M8" s="344"/>
      <c r="O8" s="4" t="s">
        <v>104</v>
      </c>
    </row>
    <row r="9" spans="1:15" ht="15.6" customHeight="1" thickBot="1" x14ac:dyDescent="0.35">
      <c r="B9" s="312" t="s">
        <v>5</v>
      </c>
      <c r="C9" s="313"/>
      <c r="D9" s="331"/>
      <c r="E9" s="255"/>
      <c r="F9" s="255"/>
      <c r="G9" s="258"/>
      <c r="I9" s="348"/>
      <c r="J9" s="345">
        <f>$E$18+$E$19+$E$20+$E$21+$E$24+$E$27</f>
        <v>62474</v>
      </c>
      <c r="K9" s="346"/>
      <c r="L9" s="345">
        <f>$E$58+$E$59+$E$60+$E$62+$E$63+$E$66</f>
        <v>44268</v>
      </c>
      <c r="M9" s="347"/>
      <c r="O9" s="4" t="s">
        <v>105</v>
      </c>
    </row>
    <row r="10" spans="1:15" ht="16.2" thickBot="1" x14ac:dyDescent="0.35">
      <c r="B10" s="312" t="s">
        <v>6</v>
      </c>
      <c r="C10" s="313"/>
      <c r="D10" s="331"/>
      <c r="E10" s="255">
        <v>28569</v>
      </c>
      <c r="F10" s="255">
        <v>21696</v>
      </c>
      <c r="G10" s="258">
        <v>19034</v>
      </c>
      <c r="I10" s="63" t="s">
        <v>88</v>
      </c>
      <c r="J10" s="339">
        <f>J9-L9</f>
        <v>18206</v>
      </c>
      <c r="K10" s="340"/>
      <c r="L10" s="340"/>
      <c r="M10" s="341"/>
      <c r="O10" s="4" t="s">
        <v>106</v>
      </c>
    </row>
    <row r="11" spans="1:15" ht="16.2" thickBot="1" x14ac:dyDescent="0.35">
      <c r="B11" s="312" t="s">
        <v>7</v>
      </c>
      <c r="C11" s="313"/>
      <c r="D11" s="331"/>
      <c r="E11" s="255"/>
      <c r="F11" s="255"/>
      <c r="G11" s="258"/>
      <c r="I11" s="348" t="s">
        <v>90</v>
      </c>
      <c r="J11" s="342" t="s">
        <v>96</v>
      </c>
      <c r="K11" s="343"/>
      <c r="L11" s="342" t="s">
        <v>97</v>
      </c>
      <c r="M11" s="344"/>
    </row>
    <row r="12" spans="1:15" ht="16.2" thickBot="1" x14ac:dyDescent="0.35">
      <c r="B12" s="312" t="s">
        <v>8</v>
      </c>
      <c r="C12" s="313"/>
      <c r="D12" s="331"/>
      <c r="E12" s="255"/>
      <c r="F12" s="255"/>
      <c r="G12" s="258"/>
      <c r="I12" s="348"/>
      <c r="J12" s="345">
        <f>$E$28+$E$25+$E$26</f>
        <v>39898</v>
      </c>
      <c r="K12" s="346"/>
      <c r="L12" s="345">
        <f>$E$61+$E$64+$E$65+$E$66</f>
        <v>24412</v>
      </c>
      <c r="M12" s="347"/>
    </row>
    <row r="13" spans="1:15" ht="16.2" thickBot="1" x14ac:dyDescent="0.35">
      <c r="B13" s="312" t="s">
        <v>9</v>
      </c>
      <c r="C13" s="313"/>
      <c r="D13" s="331"/>
      <c r="E13" s="255"/>
      <c r="F13" s="255"/>
      <c r="G13" s="258"/>
      <c r="I13" s="64" t="s">
        <v>91</v>
      </c>
      <c r="J13" s="339">
        <f>J12-L12</f>
        <v>15486</v>
      </c>
      <c r="K13" s="340"/>
      <c r="L13" s="340"/>
      <c r="M13" s="341"/>
    </row>
    <row r="14" spans="1:15" ht="16.2" thickBot="1" x14ac:dyDescent="0.35">
      <c r="B14" s="312" t="s">
        <v>10</v>
      </c>
      <c r="C14" s="313"/>
      <c r="D14" s="331"/>
      <c r="E14" s="255"/>
      <c r="F14" s="255"/>
      <c r="G14" s="258"/>
    </row>
    <row r="15" spans="1:15" ht="16.2" customHeight="1" x14ac:dyDescent="0.3">
      <c r="B15" s="312" t="s">
        <v>11</v>
      </c>
      <c r="C15" s="313"/>
      <c r="D15" s="331"/>
      <c r="E15" s="255"/>
      <c r="F15" s="255"/>
      <c r="G15" s="258"/>
      <c r="I15" s="356" t="s">
        <v>92</v>
      </c>
      <c r="J15" s="349" t="s">
        <v>107</v>
      </c>
      <c r="K15" s="350"/>
      <c r="L15" s="350"/>
      <c r="M15" s="351"/>
    </row>
    <row r="16" spans="1:15" ht="16.2" thickBot="1" x14ac:dyDescent="0.35">
      <c r="B16" s="312"/>
      <c r="C16" s="313"/>
      <c r="D16" s="331"/>
      <c r="E16" s="255"/>
      <c r="F16" s="255"/>
      <c r="G16" s="258"/>
      <c r="I16" s="357"/>
      <c r="J16" s="352" t="s">
        <v>319</v>
      </c>
      <c r="K16" s="353"/>
      <c r="L16" s="354" t="s">
        <v>319</v>
      </c>
      <c r="M16" s="355"/>
    </row>
    <row r="17" spans="2:13" ht="16.2" customHeight="1" thickBot="1" x14ac:dyDescent="0.35">
      <c r="B17" s="314" t="s">
        <v>12</v>
      </c>
      <c r="C17" s="315"/>
      <c r="D17" s="331"/>
      <c r="E17" s="58">
        <f>SUM(E18:E28)</f>
        <v>102372</v>
      </c>
      <c r="F17" s="58">
        <f t="shared" ref="F17:G17" si="1">SUM(F18:F28)</f>
        <v>114116</v>
      </c>
      <c r="G17" s="303">
        <f t="shared" si="1"/>
        <v>76454</v>
      </c>
      <c r="I17" s="358" t="s">
        <v>86</v>
      </c>
      <c r="J17" s="342" t="s">
        <v>172</v>
      </c>
      <c r="K17" s="343"/>
      <c r="L17" s="342" t="s">
        <v>93</v>
      </c>
      <c r="M17" s="344"/>
    </row>
    <row r="18" spans="2:13" ht="16.2" thickBot="1" x14ac:dyDescent="0.35">
      <c r="B18" s="312" t="s">
        <v>13</v>
      </c>
      <c r="C18" s="313"/>
      <c r="D18" s="331"/>
      <c r="E18" s="255">
        <v>16702</v>
      </c>
      <c r="F18" s="255">
        <v>20628</v>
      </c>
      <c r="G18" s="258">
        <v>13038</v>
      </c>
      <c r="I18" s="348"/>
      <c r="J18" s="345">
        <f>$F$7+$F$10+$F$8+$F$9+$F$11+$F$12+$F$13+$F$14+$F$15</f>
        <v>197206</v>
      </c>
      <c r="K18" s="346"/>
      <c r="L18" s="345">
        <f>F47+F50</f>
        <v>243565</v>
      </c>
      <c r="M18" s="347"/>
    </row>
    <row r="19" spans="2:13" ht="16.2" thickBot="1" x14ac:dyDescent="0.35">
      <c r="B19" s="312" t="s">
        <v>14</v>
      </c>
      <c r="C19" s="313"/>
      <c r="D19" s="331"/>
      <c r="E19" s="255"/>
      <c r="F19" s="255"/>
      <c r="G19" s="258"/>
      <c r="I19" s="63" t="s">
        <v>89</v>
      </c>
      <c r="J19" s="339">
        <f>L18-J18</f>
        <v>46359</v>
      </c>
      <c r="K19" s="340"/>
      <c r="L19" s="340"/>
      <c r="M19" s="341"/>
    </row>
    <row r="20" spans="2:13" ht="16.2" thickBot="1" x14ac:dyDescent="0.35">
      <c r="B20" s="312" t="s">
        <v>15</v>
      </c>
      <c r="C20" s="313"/>
      <c r="D20" s="331"/>
      <c r="E20" s="255">
        <v>31456</v>
      </c>
      <c r="F20" s="255">
        <v>24851</v>
      </c>
      <c r="G20" s="258">
        <v>35337</v>
      </c>
      <c r="I20" s="348" t="s">
        <v>87</v>
      </c>
      <c r="J20" s="342" t="s">
        <v>94</v>
      </c>
      <c r="K20" s="343"/>
      <c r="L20" s="342" t="s">
        <v>95</v>
      </c>
      <c r="M20" s="344"/>
    </row>
    <row r="21" spans="2:13" ht="16.2" thickBot="1" x14ac:dyDescent="0.35">
      <c r="B21" s="312" t="s">
        <v>16</v>
      </c>
      <c r="C21" s="313"/>
      <c r="D21" s="331"/>
      <c r="E21" s="255">
        <v>14316</v>
      </c>
      <c r="F21" s="255">
        <v>9377</v>
      </c>
      <c r="G21" s="258">
        <v>7775</v>
      </c>
      <c r="I21" s="348"/>
      <c r="J21" s="345">
        <f>$F$18+$F$19+$F$20+$F$21+$F$24+$F$27</f>
        <v>54856</v>
      </c>
      <c r="K21" s="346"/>
      <c r="L21" s="345">
        <f>$F$58+$F$59+$F$60+$F$62+$F$63+$F$66</f>
        <v>38656</v>
      </c>
      <c r="M21" s="347"/>
    </row>
    <row r="22" spans="2:13" ht="16.2" thickBot="1" x14ac:dyDescent="0.35">
      <c r="B22" s="312" t="s">
        <v>58</v>
      </c>
      <c r="C22" s="313"/>
      <c r="D22" s="331"/>
      <c r="E22" s="255"/>
      <c r="F22" s="255"/>
      <c r="G22" s="258"/>
      <c r="I22" s="63" t="s">
        <v>88</v>
      </c>
      <c r="J22" s="339">
        <f>J21-L21</f>
        <v>16200</v>
      </c>
      <c r="K22" s="340"/>
      <c r="L22" s="340"/>
      <c r="M22" s="341"/>
    </row>
    <row r="23" spans="2:13" ht="16.2" customHeight="1" thickBot="1" x14ac:dyDescent="0.35">
      <c r="B23" s="312" t="s">
        <v>17</v>
      </c>
      <c r="C23" s="313"/>
      <c r="D23" s="331"/>
      <c r="E23" s="255"/>
      <c r="F23" s="255"/>
      <c r="G23" s="258"/>
      <c r="I23" s="348" t="s">
        <v>90</v>
      </c>
      <c r="J23" s="342" t="s">
        <v>96</v>
      </c>
      <c r="K23" s="343"/>
      <c r="L23" s="342" t="s">
        <v>97</v>
      </c>
      <c r="M23" s="344"/>
    </row>
    <row r="24" spans="2:13" ht="16.2" thickBot="1" x14ac:dyDescent="0.35">
      <c r="B24" s="312" t="s">
        <v>18</v>
      </c>
      <c r="C24" s="313"/>
      <c r="D24" s="331"/>
      <c r="E24" s="255"/>
      <c r="F24" s="255"/>
      <c r="G24" s="258"/>
      <c r="I24" s="348"/>
      <c r="J24" s="345">
        <f>$F$28+$F$25+$F$26</f>
        <v>59260</v>
      </c>
      <c r="K24" s="346"/>
      <c r="L24" s="345">
        <f>$F$61+$F$64+$F$65+$F$66</f>
        <v>29101</v>
      </c>
      <c r="M24" s="347"/>
    </row>
    <row r="25" spans="2:13" ht="16.2" thickBot="1" x14ac:dyDescent="0.35">
      <c r="B25" s="312" t="s">
        <v>19</v>
      </c>
      <c r="C25" s="313"/>
      <c r="D25" s="331"/>
      <c r="E25" s="255"/>
      <c r="F25" s="255"/>
      <c r="G25" s="258"/>
      <c r="I25" s="64" t="s">
        <v>91</v>
      </c>
      <c r="J25" s="339">
        <f>J24-L24</f>
        <v>30159</v>
      </c>
      <c r="K25" s="340"/>
      <c r="L25" s="340"/>
      <c r="M25" s="341"/>
    </row>
    <row r="26" spans="2:13" ht="16.2" thickBot="1" x14ac:dyDescent="0.35">
      <c r="B26" s="312" t="s">
        <v>20</v>
      </c>
      <c r="C26" s="313"/>
      <c r="D26" s="331"/>
      <c r="E26" s="255"/>
      <c r="F26" s="255"/>
      <c r="G26" s="258"/>
    </row>
    <row r="27" spans="2:13" x14ac:dyDescent="0.3">
      <c r="B27" s="312" t="s">
        <v>21</v>
      </c>
      <c r="C27" s="313"/>
      <c r="D27" s="331"/>
      <c r="E27" s="255"/>
      <c r="F27" s="255"/>
      <c r="G27" s="258"/>
      <c r="I27" s="356" t="s">
        <v>92</v>
      </c>
      <c r="J27" s="349" t="s">
        <v>108</v>
      </c>
      <c r="K27" s="350"/>
      <c r="L27" s="350"/>
      <c r="M27" s="351"/>
    </row>
    <row r="28" spans="2:13" ht="16.2" thickBot="1" x14ac:dyDescent="0.35">
      <c r="B28" s="312" t="s">
        <v>22</v>
      </c>
      <c r="C28" s="313"/>
      <c r="D28" s="331"/>
      <c r="E28" s="255">
        <v>39898</v>
      </c>
      <c r="F28" s="255">
        <v>59260</v>
      </c>
      <c r="G28" s="258">
        <v>20304</v>
      </c>
      <c r="I28" s="357"/>
      <c r="J28" s="352" t="s">
        <v>319</v>
      </c>
      <c r="K28" s="353"/>
      <c r="L28" s="354" t="s">
        <v>319</v>
      </c>
      <c r="M28" s="355"/>
    </row>
    <row r="29" spans="2:13" ht="16.2" customHeight="1" thickBot="1" x14ac:dyDescent="0.35">
      <c r="B29" s="312"/>
      <c r="C29" s="313"/>
      <c r="D29" s="331"/>
      <c r="E29" s="58"/>
      <c r="F29" s="58"/>
      <c r="G29" s="303"/>
      <c r="I29" s="358" t="s">
        <v>86</v>
      </c>
      <c r="J29" s="342" t="s">
        <v>172</v>
      </c>
      <c r="K29" s="343"/>
      <c r="L29" s="342" t="s">
        <v>93</v>
      </c>
      <c r="M29" s="344"/>
    </row>
    <row r="30" spans="2:13" ht="16.2" thickBot="1" x14ac:dyDescent="0.35">
      <c r="B30" s="314" t="s">
        <v>23</v>
      </c>
      <c r="C30" s="315"/>
      <c r="D30" s="331"/>
      <c r="E30" s="58">
        <f>E17+E6</f>
        <v>341470</v>
      </c>
      <c r="F30" s="58">
        <f t="shared" ref="F30:G30" si="2">F17+F6</f>
        <v>311322</v>
      </c>
      <c r="G30" s="303">
        <f t="shared" si="2"/>
        <v>302844</v>
      </c>
      <c r="I30" s="348"/>
      <c r="J30" s="345">
        <f>$G$7+$G$10+$G$8+$G$9+$G$11+$G$12+$G$13+$G$14+$G$15</f>
        <v>226390</v>
      </c>
      <c r="K30" s="346"/>
      <c r="L30" s="345">
        <f>G47+G50</f>
        <v>210168</v>
      </c>
      <c r="M30" s="347"/>
    </row>
    <row r="31" spans="2:13" ht="16.2" thickBot="1" x14ac:dyDescent="0.35">
      <c r="B31" s="316"/>
      <c r="C31" s="317"/>
      <c r="D31" s="332"/>
      <c r="E31" s="59"/>
      <c r="F31" s="59"/>
      <c r="G31" s="304"/>
      <c r="I31" s="63" t="s">
        <v>89</v>
      </c>
      <c r="J31" s="366">
        <f>L30-J30</f>
        <v>-16222</v>
      </c>
      <c r="K31" s="367"/>
      <c r="L31" s="367"/>
      <c r="M31" s="368"/>
    </row>
    <row r="32" spans="2:13" ht="16.2" thickBot="1" x14ac:dyDescent="0.35">
      <c r="B32" s="318" t="s">
        <v>24</v>
      </c>
      <c r="C32" s="319"/>
      <c r="D32" s="330"/>
      <c r="E32" s="56"/>
      <c r="F32" s="56"/>
      <c r="G32" s="57"/>
      <c r="I32" s="348" t="s">
        <v>87</v>
      </c>
      <c r="J32" s="342" t="s">
        <v>94</v>
      </c>
      <c r="K32" s="343"/>
      <c r="L32" s="342" t="s">
        <v>95</v>
      </c>
      <c r="M32" s="344"/>
    </row>
    <row r="33" spans="2:13" ht="16.2" thickBot="1" x14ac:dyDescent="0.35">
      <c r="B33" s="320" t="s">
        <v>25</v>
      </c>
      <c r="C33" s="321"/>
      <c r="D33" s="331"/>
      <c r="E33" s="58"/>
      <c r="F33" s="58"/>
      <c r="G33" s="303"/>
      <c r="I33" s="348"/>
      <c r="J33" s="345">
        <f>$G$18+$G$19+$G$20+$G$21+$G$24+$G$27</f>
        <v>56150</v>
      </c>
      <c r="K33" s="346"/>
      <c r="L33" s="345">
        <f>$G$58+$G$59+$G$60+$G$62+$G$63+$G$66</f>
        <v>67117</v>
      </c>
      <c r="M33" s="347"/>
    </row>
    <row r="34" spans="2:13" ht="16.2" thickBot="1" x14ac:dyDescent="0.35">
      <c r="B34" s="312" t="s">
        <v>27</v>
      </c>
      <c r="C34" s="313"/>
      <c r="D34" s="331"/>
      <c r="E34" s="255">
        <v>50000</v>
      </c>
      <c r="F34" s="255">
        <v>50000</v>
      </c>
      <c r="G34" s="258">
        <v>50000</v>
      </c>
      <c r="I34" s="63" t="s">
        <v>88</v>
      </c>
      <c r="J34" s="339">
        <f>J33-L33</f>
        <v>-10967</v>
      </c>
      <c r="K34" s="340"/>
      <c r="L34" s="340"/>
      <c r="M34" s="341"/>
    </row>
    <row r="35" spans="2:13" ht="16.2" customHeight="1" thickBot="1" x14ac:dyDescent="0.35">
      <c r="B35" s="312" t="s">
        <v>28</v>
      </c>
      <c r="C35" s="313"/>
      <c r="D35" s="331"/>
      <c r="E35" s="255"/>
      <c r="F35" s="255"/>
      <c r="G35" s="258"/>
      <c r="I35" s="348" t="s">
        <v>90</v>
      </c>
      <c r="J35" s="342" t="s">
        <v>96</v>
      </c>
      <c r="K35" s="343"/>
      <c r="L35" s="342" t="s">
        <v>97</v>
      </c>
      <c r="M35" s="344"/>
    </row>
    <row r="36" spans="2:13" ht="16.2" thickBot="1" x14ac:dyDescent="0.35">
      <c r="B36" s="312" t="s">
        <v>29</v>
      </c>
      <c r="C36" s="313"/>
      <c r="D36" s="331"/>
      <c r="E36" s="255"/>
      <c r="F36" s="255"/>
      <c r="G36" s="258"/>
      <c r="I36" s="348"/>
      <c r="J36" s="345">
        <f>$G$28+$G$25+$G$26</f>
        <v>20304</v>
      </c>
      <c r="K36" s="346"/>
      <c r="L36" s="345">
        <f>$G$61+$G$64+$G$65+$G$66</f>
        <v>25559</v>
      </c>
      <c r="M36" s="347"/>
    </row>
    <row r="37" spans="2:13" ht="16.2" thickBot="1" x14ac:dyDescent="0.35">
      <c r="B37" s="312" t="s">
        <v>30</v>
      </c>
      <c r="C37" s="313"/>
      <c r="D37" s="331"/>
      <c r="E37" s="255"/>
      <c r="F37" s="255"/>
      <c r="G37" s="258"/>
      <c r="I37" s="64" t="s">
        <v>91</v>
      </c>
      <c r="J37" s="363">
        <f>J36-L36</f>
        <v>-5255</v>
      </c>
      <c r="K37" s="364"/>
      <c r="L37" s="364"/>
      <c r="M37" s="365"/>
    </row>
    <row r="38" spans="2:13" x14ac:dyDescent="0.3">
      <c r="B38" s="312" t="s">
        <v>31</v>
      </c>
      <c r="C38" s="313"/>
      <c r="D38" s="331"/>
      <c r="E38" s="255">
        <v>16649</v>
      </c>
      <c r="F38" s="255">
        <v>20420</v>
      </c>
      <c r="G38" s="258">
        <v>20273</v>
      </c>
    </row>
    <row r="39" spans="2:13" x14ac:dyDescent="0.3">
      <c r="B39" s="312" t="s">
        <v>32</v>
      </c>
      <c r="C39" s="313"/>
      <c r="D39" s="331"/>
      <c r="E39" s="255"/>
      <c r="F39" s="255"/>
      <c r="G39" s="258"/>
    </row>
    <row r="40" spans="2:13" x14ac:dyDescent="0.3">
      <c r="B40" s="312" t="s">
        <v>33</v>
      </c>
      <c r="C40" s="313"/>
      <c r="D40" s="331"/>
      <c r="E40" s="255">
        <v>21306</v>
      </c>
      <c r="F40" s="255">
        <v>34741</v>
      </c>
      <c r="G40" s="258">
        <v>21799</v>
      </c>
    </row>
    <row r="41" spans="2:13" x14ac:dyDescent="0.3">
      <c r="B41" s="312" t="s">
        <v>34</v>
      </c>
      <c r="C41" s="313"/>
      <c r="D41" s="331"/>
      <c r="E41" s="255"/>
      <c r="F41" s="255"/>
      <c r="G41" s="258"/>
      <c r="K41" s="233"/>
    </row>
    <row r="42" spans="2:13" x14ac:dyDescent="0.3">
      <c r="B42" s="312" t="s">
        <v>35</v>
      </c>
      <c r="C42" s="313"/>
      <c r="D42" s="331"/>
      <c r="E42" s="255"/>
      <c r="F42" s="255"/>
      <c r="G42" s="258"/>
    </row>
    <row r="43" spans="2:13" x14ac:dyDescent="0.3">
      <c r="B43" s="312"/>
      <c r="C43" s="313"/>
      <c r="D43" s="331"/>
      <c r="E43" s="255"/>
      <c r="F43" s="255"/>
      <c r="G43" s="258"/>
    </row>
    <row r="44" spans="2:13" x14ac:dyDescent="0.3">
      <c r="B44" s="312" t="s">
        <v>36</v>
      </c>
      <c r="C44" s="313"/>
      <c r="D44" s="331"/>
      <c r="E44" s="255">
        <v>29821</v>
      </c>
      <c r="F44" s="255">
        <v>-921</v>
      </c>
      <c r="G44" s="258">
        <v>24634</v>
      </c>
      <c r="H44" s="360" t="str">
        <f>IF(E44&lt;&gt;'Demonstração de Resultados'!E31, "⚠️ Resultado líquido do período no balanço diferente da Demonstração de Resultados",
IF(F44&lt;&gt;'Demonstração de Resultados'!F31, "⚠️ Resultado líquido do período no balanço diferente da Demonstração de Resultados",
IF(G44&lt;&gt;'Demonstração de Resultados'!G31, "⚠️ Resultado líquido do período no balanço diferente da Demonstração de Resultados", "")))</f>
        <v/>
      </c>
      <c r="I44" s="360"/>
    </row>
    <row r="45" spans="2:13" x14ac:dyDescent="0.3">
      <c r="B45" s="312" t="s">
        <v>37</v>
      </c>
      <c r="C45" s="313"/>
      <c r="D45" s="331"/>
      <c r="E45" s="255"/>
      <c r="F45" s="255"/>
      <c r="G45" s="258"/>
      <c r="H45" s="360"/>
      <c r="I45" s="360"/>
    </row>
    <row r="46" spans="2:13" x14ac:dyDescent="0.3">
      <c r="B46" s="312"/>
      <c r="C46" s="313"/>
      <c r="D46" s="331"/>
      <c r="E46" s="58"/>
      <c r="F46" s="58"/>
      <c r="G46" s="303"/>
      <c r="I46" s="232"/>
      <c r="J46" s="232"/>
      <c r="K46" s="232"/>
    </row>
    <row r="47" spans="2:13" x14ac:dyDescent="0.3">
      <c r="B47" s="314" t="s">
        <v>38</v>
      </c>
      <c r="C47" s="315"/>
      <c r="D47" s="331"/>
      <c r="E47" s="58">
        <f>SUM(E34:E45)</f>
        <v>117776</v>
      </c>
      <c r="F47" s="58">
        <f t="shared" ref="F47:G47" si="3">SUM(F34:F45)</f>
        <v>104240</v>
      </c>
      <c r="G47" s="303">
        <f t="shared" si="3"/>
        <v>116706</v>
      </c>
    </row>
    <row r="48" spans="2:13" ht="16.2" thickBot="1" x14ac:dyDescent="0.35">
      <c r="B48" s="316"/>
      <c r="C48" s="317"/>
      <c r="D48" s="332"/>
      <c r="E48" s="59"/>
      <c r="F48" s="59"/>
      <c r="G48" s="304"/>
    </row>
    <row r="49" spans="2:7" x14ac:dyDescent="0.3">
      <c r="B49" s="322" t="s">
        <v>39</v>
      </c>
      <c r="C49" s="323"/>
      <c r="D49" s="330"/>
      <c r="E49" s="60"/>
      <c r="F49" s="60"/>
      <c r="G49" s="305"/>
    </row>
    <row r="50" spans="2:7" x14ac:dyDescent="0.3">
      <c r="B50" s="314" t="s">
        <v>40</v>
      </c>
      <c r="C50" s="315"/>
      <c r="D50" s="331"/>
      <c r="E50" s="58">
        <f>SUM(E51:E56)</f>
        <v>155014</v>
      </c>
      <c r="F50" s="58">
        <f t="shared" ref="F50:G50" si="4">SUM(F51:F56)</f>
        <v>139325</v>
      </c>
      <c r="G50" s="303">
        <f t="shared" si="4"/>
        <v>93462</v>
      </c>
    </row>
    <row r="51" spans="2:7" x14ac:dyDescent="0.3">
      <c r="B51" s="312" t="s">
        <v>41</v>
      </c>
      <c r="C51" s="313"/>
      <c r="D51" s="331"/>
      <c r="E51" s="255">
        <v>8447</v>
      </c>
      <c r="F51" s="255">
        <v>8651</v>
      </c>
      <c r="G51" s="258">
        <v>17646</v>
      </c>
    </row>
    <row r="52" spans="2:7" x14ac:dyDescent="0.3">
      <c r="B52" s="312" t="s">
        <v>42</v>
      </c>
      <c r="C52" s="313"/>
      <c r="D52" s="331"/>
      <c r="E52" s="255">
        <v>146567</v>
      </c>
      <c r="F52" s="255">
        <v>130674</v>
      </c>
      <c r="G52" s="258">
        <v>75816</v>
      </c>
    </row>
    <row r="53" spans="2:7" x14ac:dyDescent="0.3">
      <c r="B53" s="312" t="s">
        <v>43</v>
      </c>
      <c r="C53" s="313"/>
      <c r="D53" s="331"/>
      <c r="E53" s="255"/>
      <c r="F53" s="255"/>
      <c r="G53" s="258"/>
    </row>
    <row r="54" spans="2:7" x14ac:dyDescent="0.3">
      <c r="B54" s="312" t="s">
        <v>44</v>
      </c>
      <c r="C54" s="313"/>
      <c r="D54" s="331"/>
      <c r="E54" s="255"/>
      <c r="F54" s="255"/>
      <c r="G54" s="258"/>
    </row>
    <row r="55" spans="2:7" x14ac:dyDescent="0.3">
      <c r="B55" s="312" t="s">
        <v>45</v>
      </c>
      <c r="C55" s="313"/>
      <c r="D55" s="331"/>
      <c r="E55" s="255"/>
      <c r="F55" s="255"/>
      <c r="G55" s="258"/>
    </row>
    <row r="56" spans="2:7" x14ac:dyDescent="0.3">
      <c r="B56" s="312"/>
      <c r="C56" s="313"/>
      <c r="D56" s="331"/>
      <c r="E56" s="255"/>
      <c r="F56" s="255"/>
      <c r="G56" s="258"/>
    </row>
    <row r="57" spans="2:7" x14ac:dyDescent="0.3">
      <c r="B57" s="314" t="s">
        <v>46</v>
      </c>
      <c r="C57" s="315"/>
      <c r="D57" s="331"/>
      <c r="E57" s="58">
        <f>SUM(E58:E66)</f>
        <v>68680</v>
      </c>
      <c r="F57" s="58">
        <f t="shared" ref="F57:G57" si="5">SUM(F58:F66)</f>
        <v>67757</v>
      </c>
      <c r="G57" s="303">
        <f t="shared" si="5"/>
        <v>92676</v>
      </c>
    </row>
    <row r="58" spans="2:7" x14ac:dyDescent="0.3">
      <c r="B58" s="312" t="s">
        <v>47</v>
      </c>
      <c r="C58" s="313"/>
      <c r="D58" s="331"/>
      <c r="E58" s="255">
        <v>32625</v>
      </c>
      <c r="F58" s="255">
        <v>33565</v>
      </c>
      <c r="G58" s="258">
        <v>52432</v>
      </c>
    </row>
    <row r="59" spans="2:7" x14ac:dyDescent="0.3">
      <c r="B59" s="312" t="s">
        <v>48</v>
      </c>
      <c r="C59" s="313"/>
      <c r="D59" s="331"/>
      <c r="E59" s="255"/>
      <c r="F59" s="255"/>
      <c r="G59" s="258"/>
    </row>
    <row r="60" spans="2:7" x14ac:dyDescent="0.3">
      <c r="B60" s="312" t="s">
        <v>16</v>
      </c>
      <c r="C60" s="313"/>
      <c r="D60" s="331"/>
      <c r="E60" s="255">
        <v>11643</v>
      </c>
      <c r="F60" s="255">
        <v>5091</v>
      </c>
      <c r="G60" s="258">
        <v>14685</v>
      </c>
    </row>
    <row r="61" spans="2:7" x14ac:dyDescent="0.3">
      <c r="B61" s="312" t="s">
        <v>42</v>
      </c>
      <c r="C61" s="313"/>
      <c r="D61" s="331"/>
      <c r="E61" s="255">
        <v>11622</v>
      </c>
      <c r="F61" s="255">
        <v>18555</v>
      </c>
      <c r="G61" s="258">
        <v>12812</v>
      </c>
    </row>
    <row r="62" spans="2:7" x14ac:dyDescent="0.3">
      <c r="B62" s="312" t="s">
        <v>45</v>
      </c>
      <c r="C62" s="313"/>
      <c r="D62" s="331"/>
      <c r="E62" s="255"/>
      <c r="F62" s="255"/>
      <c r="G62" s="258"/>
    </row>
    <row r="63" spans="2:7" x14ac:dyDescent="0.3">
      <c r="B63" s="312" t="s">
        <v>18</v>
      </c>
      <c r="C63" s="313"/>
      <c r="D63" s="331"/>
      <c r="E63" s="255"/>
      <c r="F63" s="255"/>
      <c r="G63" s="258"/>
    </row>
    <row r="64" spans="2:7" x14ac:dyDescent="0.3">
      <c r="B64" s="312" t="s">
        <v>49</v>
      </c>
      <c r="C64" s="313"/>
      <c r="D64" s="331"/>
      <c r="E64" s="255"/>
      <c r="F64" s="255"/>
      <c r="G64" s="258"/>
    </row>
    <row r="65" spans="2:7" x14ac:dyDescent="0.3">
      <c r="B65" s="312" t="s">
        <v>50</v>
      </c>
      <c r="C65" s="313"/>
      <c r="D65" s="331"/>
      <c r="E65" s="255">
        <v>12790</v>
      </c>
      <c r="F65" s="255">
        <v>10546</v>
      </c>
      <c r="G65" s="258">
        <v>12747</v>
      </c>
    </row>
    <row r="66" spans="2:7" x14ac:dyDescent="0.3">
      <c r="B66" s="312" t="s">
        <v>51</v>
      </c>
      <c r="C66" s="313"/>
      <c r="D66" s="331"/>
      <c r="E66" s="255"/>
      <c r="F66" s="255"/>
      <c r="G66" s="258"/>
    </row>
    <row r="67" spans="2:7" x14ac:dyDescent="0.3">
      <c r="B67" s="312"/>
      <c r="C67" s="313"/>
      <c r="D67" s="331"/>
      <c r="E67" s="58"/>
      <c r="F67" s="58"/>
      <c r="G67" s="303"/>
    </row>
    <row r="68" spans="2:7" x14ac:dyDescent="0.3">
      <c r="B68" s="314" t="s">
        <v>52</v>
      </c>
      <c r="C68" s="315"/>
      <c r="D68" s="331"/>
      <c r="E68" s="58">
        <f>E50+E57</f>
        <v>223694</v>
      </c>
      <c r="F68" s="58">
        <f t="shared" ref="F68:G68" si="6">F50+F57</f>
        <v>207082</v>
      </c>
      <c r="G68" s="303">
        <f t="shared" si="6"/>
        <v>186138</v>
      </c>
    </row>
    <row r="69" spans="2:7" ht="16.2" thickBot="1" x14ac:dyDescent="0.35">
      <c r="B69" s="337" t="s">
        <v>53</v>
      </c>
      <c r="C69" s="338"/>
      <c r="D69" s="332"/>
      <c r="E69" s="59">
        <f>E68+E47</f>
        <v>341470</v>
      </c>
      <c r="F69" s="59">
        <f t="shared" ref="F69:G69" si="7">F68+F47</f>
        <v>311322</v>
      </c>
      <c r="G69" s="304">
        <f t="shared" si="7"/>
        <v>302844</v>
      </c>
    </row>
    <row r="70" spans="2:7" ht="16.2" thickBot="1" x14ac:dyDescent="0.35">
      <c r="B70" s="337" t="s">
        <v>366</v>
      </c>
      <c r="C70" s="359"/>
      <c r="D70" s="229"/>
      <c r="E70" s="230" t="str">
        <f>IF(E69=E30, "✅", "⚠️")</f>
        <v>✅</v>
      </c>
      <c r="F70" s="231" t="str">
        <f>IF(F69=F30, "✅", "⚠️")</f>
        <v>✅</v>
      </c>
      <c r="G70" s="306" t="str">
        <f>IF(G69=G30, "✅", "⚠️")</f>
        <v>✅</v>
      </c>
    </row>
  </sheetData>
  <sheetProtection algorithmName="SHA-512" hashValue="6c1z2Ga9Vnd70xaYcXuGd/0l39R2RW7Sgnj+kZPAn93nxNNdxQ+9sw4W4RT7dNScV8peJCyHvkHpx19mrEAgiQ==" saltValue="e2KVUrf1DuuGPAcVgl9s7w==" spinCount="100000" sheet="1" selectLockedCells="1"/>
  <mergeCells count="141">
    <mergeCell ref="B70:C70"/>
    <mergeCell ref="H44:I45"/>
    <mergeCell ref="B2:C2"/>
    <mergeCell ref="J37:M37"/>
    <mergeCell ref="J34:M34"/>
    <mergeCell ref="I35:I36"/>
    <mergeCell ref="J35:K35"/>
    <mergeCell ref="L35:M35"/>
    <mergeCell ref="J36:K36"/>
    <mergeCell ref="L36:M36"/>
    <mergeCell ref="J31:M31"/>
    <mergeCell ref="I32:I33"/>
    <mergeCell ref="J32:K32"/>
    <mergeCell ref="L32:M32"/>
    <mergeCell ref="J33:K33"/>
    <mergeCell ref="L33:M33"/>
    <mergeCell ref="J25:M25"/>
    <mergeCell ref="I27:I28"/>
    <mergeCell ref="J27:M27"/>
    <mergeCell ref="J28:K28"/>
    <mergeCell ref="L28:M28"/>
    <mergeCell ref="I29:I30"/>
    <mergeCell ref="J29:K29"/>
    <mergeCell ref="L29:M29"/>
    <mergeCell ref="J30:K30"/>
    <mergeCell ref="L30:M30"/>
    <mergeCell ref="J22:M22"/>
    <mergeCell ref="I23:I24"/>
    <mergeCell ref="J23:K23"/>
    <mergeCell ref="L23:M23"/>
    <mergeCell ref="J24:K24"/>
    <mergeCell ref="L24:M24"/>
    <mergeCell ref="J19:M19"/>
    <mergeCell ref="I20:I21"/>
    <mergeCell ref="J20:K20"/>
    <mergeCell ref="L20:M20"/>
    <mergeCell ref="J21:K21"/>
    <mergeCell ref="L21:M21"/>
    <mergeCell ref="I15:I16"/>
    <mergeCell ref="J15:M15"/>
    <mergeCell ref="J16:K16"/>
    <mergeCell ref="L16:M16"/>
    <mergeCell ref="I17:I18"/>
    <mergeCell ref="J17:K17"/>
    <mergeCell ref="L17:M17"/>
    <mergeCell ref="J18:K18"/>
    <mergeCell ref="L18:M18"/>
    <mergeCell ref="J10:M10"/>
    <mergeCell ref="J7:M7"/>
    <mergeCell ref="J13:M13"/>
    <mergeCell ref="J11:K11"/>
    <mergeCell ref="L11:M11"/>
    <mergeCell ref="J12:K12"/>
    <mergeCell ref="L12:M12"/>
    <mergeCell ref="I11:I12"/>
    <mergeCell ref="J3:M3"/>
    <mergeCell ref="J4:K4"/>
    <mergeCell ref="L4:M4"/>
    <mergeCell ref="I3:I4"/>
    <mergeCell ref="J5:K5"/>
    <mergeCell ref="L5:M5"/>
    <mergeCell ref="J8:K8"/>
    <mergeCell ref="L8:M8"/>
    <mergeCell ref="J6:K6"/>
    <mergeCell ref="I5:I6"/>
    <mergeCell ref="I8:I9"/>
    <mergeCell ref="L6:M6"/>
    <mergeCell ref="J9:K9"/>
    <mergeCell ref="L9:M9"/>
    <mergeCell ref="D2:G2"/>
    <mergeCell ref="B4:C4"/>
    <mergeCell ref="B5:C5"/>
    <mergeCell ref="D5:D31"/>
    <mergeCell ref="D32:D48"/>
    <mergeCell ref="D49:D69"/>
    <mergeCell ref="B3:E3"/>
    <mergeCell ref="F3:G3"/>
    <mergeCell ref="B65:C65"/>
    <mergeCell ref="B66:C66"/>
    <mergeCell ref="B67:C67"/>
    <mergeCell ref="B68:C68"/>
    <mergeCell ref="B69:C69"/>
    <mergeCell ref="B59:C59"/>
    <mergeCell ref="B60:C60"/>
    <mergeCell ref="B61:C61"/>
    <mergeCell ref="B62:C62"/>
    <mergeCell ref="B63:C63"/>
    <mergeCell ref="B64:C64"/>
    <mergeCell ref="B53:C53"/>
    <mergeCell ref="B54:C54"/>
    <mergeCell ref="B55:C55"/>
    <mergeCell ref="B56:C56"/>
    <mergeCell ref="B57:C57"/>
    <mergeCell ref="B58:C58"/>
    <mergeCell ref="B47:C47"/>
    <mergeCell ref="B48:C48"/>
    <mergeCell ref="B49:C49"/>
    <mergeCell ref="B50:C50"/>
    <mergeCell ref="B51:C51"/>
    <mergeCell ref="B52:C52"/>
    <mergeCell ref="B41:C41"/>
    <mergeCell ref="B42:C42"/>
    <mergeCell ref="B43:C43"/>
    <mergeCell ref="B44:C44"/>
    <mergeCell ref="B45:C45"/>
    <mergeCell ref="B46:C46"/>
    <mergeCell ref="B35:C35"/>
    <mergeCell ref="B36:C36"/>
    <mergeCell ref="B37:C37"/>
    <mergeCell ref="B38:C38"/>
    <mergeCell ref="B39:C39"/>
    <mergeCell ref="B40:C40"/>
    <mergeCell ref="B29:C29"/>
    <mergeCell ref="B30:C30"/>
    <mergeCell ref="B31:C31"/>
    <mergeCell ref="B32:C32"/>
    <mergeCell ref="B33:C33"/>
    <mergeCell ref="B34:C34"/>
    <mergeCell ref="B23:C23"/>
    <mergeCell ref="B24:C24"/>
    <mergeCell ref="B25:C25"/>
    <mergeCell ref="B26:C26"/>
    <mergeCell ref="B27:C27"/>
    <mergeCell ref="B28:C28"/>
    <mergeCell ref="B17:C17"/>
    <mergeCell ref="B18:C18"/>
    <mergeCell ref="B19:C19"/>
    <mergeCell ref="B20:C20"/>
    <mergeCell ref="B21:C21"/>
    <mergeCell ref="B22:C22"/>
    <mergeCell ref="B11:C11"/>
    <mergeCell ref="B12:C12"/>
    <mergeCell ref="B13:C13"/>
    <mergeCell ref="B14:C14"/>
    <mergeCell ref="B15:C15"/>
    <mergeCell ref="B16:C16"/>
    <mergeCell ref="B6:C6"/>
    <mergeCell ref="B7:C7"/>
    <mergeCell ref="B8:C8"/>
    <mergeCell ref="B9:C9"/>
    <mergeCell ref="B10:C10"/>
  </mergeCells>
  <conditionalFormatting sqref="E70:G70">
    <cfRule type="containsText" dxfId="39" priority="2" operator="containsText" text="⚠️">
      <formula>NOT(ISERROR(SEARCH("⚠️",E70)))</formula>
    </cfRule>
    <cfRule type="containsText" dxfId="38" priority="3" operator="containsText" text="✅">
      <formula>NOT(ISERROR(SEARCH("✅",E70)))</formula>
    </cfRule>
  </conditionalFormatting>
  <conditionalFormatting sqref="H44">
    <cfRule type="containsText" dxfId="37" priority="1" operator="containsText" text="⚠️">
      <formula>NOT(ISERROR(SEARCH("⚠️",H44)))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CD70D-58ED-4A25-8EE0-D0C586D7FACA}">
  <sheetPr codeName="Folha3">
    <tabColor theme="7" tint="0.39997558519241921"/>
  </sheetPr>
  <dimension ref="A1:M37"/>
  <sheetViews>
    <sheetView topLeftCell="A8" zoomScale="70" zoomScaleNormal="70" workbookViewId="0">
      <selection activeCell="F21" sqref="F21"/>
    </sheetView>
  </sheetViews>
  <sheetFormatPr defaultRowHeight="15.6" x14ac:dyDescent="0.3"/>
  <cols>
    <col min="1" max="1" width="16.77734375" style="244" customWidth="1"/>
    <col min="2" max="2" width="10.5546875" style="1" customWidth="1"/>
    <col min="3" max="3" width="69.5546875" style="2" customWidth="1"/>
    <col min="4" max="4" width="8.88671875" style="2" customWidth="1"/>
    <col min="5" max="5" width="16.44140625" style="2" bestFit="1" customWidth="1"/>
    <col min="6" max="7" width="15.88671875" style="2" customWidth="1"/>
    <col min="8" max="8" width="8.88671875" style="2"/>
    <col min="9" max="9" width="40.77734375" style="2" customWidth="1"/>
    <col min="10" max="10" width="40.88671875" style="2" customWidth="1"/>
    <col min="11" max="11" width="16.44140625" style="2" bestFit="1" customWidth="1"/>
    <col min="12" max="14" width="15.88671875" style="2" customWidth="1"/>
    <col min="15" max="16384" width="8.88671875" style="2"/>
  </cols>
  <sheetData>
    <row r="1" spans="2:13" s="244" customFormat="1" ht="31.2" customHeight="1" thickBot="1" x14ac:dyDescent="0.35">
      <c r="B1" s="245"/>
    </row>
    <row r="2" spans="2:13" ht="16.2" thickBot="1" x14ac:dyDescent="0.35">
      <c r="B2" s="361" t="s">
        <v>178</v>
      </c>
      <c r="C2" s="362"/>
      <c r="D2" s="324" t="s">
        <v>84</v>
      </c>
      <c r="E2" s="324"/>
      <c r="F2" s="324"/>
      <c r="G2" s="325"/>
    </row>
    <row r="3" spans="2:13" ht="16.2" thickBot="1" x14ac:dyDescent="0.35">
      <c r="B3" s="333" t="s">
        <v>59</v>
      </c>
      <c r="C3" s="334"/>
      <c r="D3" s="334"/>
      <c r="E3" s="334"/>
      <c r="F3" s="335"/>
      <c r="G3" s="336"/>
      <c r="I3" s="376" t="s">
        <v>109</v>
      </c>
      <c r="J3" s="377"/>
      <c r="K3" s="377"/>
      <c r="L3" s="377"/>
      <c r="M3" s="377"/>
    </row>
    <row r="4" spans="2:13" ht="16.2" thickBot="1" x14ac:dyDescent="0.35">
      <c r="B4" s="326" t="s">
        <v>0</v>
      </c>
      <c r="C4" s="327"/>
      <c r="D4" s="61" t="s">
        <v>54</v>
      </c>
      <c r="E4" s="61" t="s">
        <v>55</v>
      </c>
      <c r="F4" s="61" t="s">
        <v>56</v>
      </c>
      <c r="G4" s="62" t="s">
        <v>315</v>
      </c>
      <c r="I4" s="374" t="s">
        <v>0</v>
      </c>
      <c r="J4" s="375"/>
      <c r="K4" s="65" t="s">
        <v>55</v>
      </c>
      <c r="L4" s="66" t="s">
        <v>56</v>
      </c>
      <c r="M4" s="67" t="s">
        <v>57</v>
      </c>
    </row>
    <row r="5" spans="2:13" x14ac:dyDescent="0.3">
      <c r="B5" s="369" t="s">
        <v>60</v>
      </c>
      <c r="C5" s="370"/>
      <c r="D5" s="330"/>
      <c r="E5" s="256">
        <v>397065</v>
      </c>
      <c r="F5" s="256">
        <v>420353</v>
      </c>
      <c r="G5" s="257">
        <v>418213</v>
      </c>
      <c r="I5" s="318" t="s">
        <v>110</v>
      </c>
      <c r="J5" s="373"/>
      <c r="K5" s="68">
        <f>SUM(K6:K11)</f>
        <v>407350</v>
      </c>
      <c r="L5" s="69">
        <f>SUM(L6:L11)</f>
        <v>431408</v>
      </c>
      <c r="M5" s="70">
        <f>SUM(M6:M11)</f>
        <v>430128</v>
      </c>
    </row>
    <row r="6" spans="2:13" x14ac:dyDescent="0.3">
      <c r="B6" s="312" t="s">
        <v>61</v>
      </c>
      <c r="C6" s="313"/>
      <c r="D6" s="331"/>
      <c r="E6" s="255"/>
      <c r="F6" s="255"/>
      <c r="G6" s="258"/>
      <c r="I6" s="378" t="s">
        <v>60</v>
      </c>
      <c r="J6" s="379"/>
      <c r="K6" s="71">
        <f>E5</f>
        <v>397065</v>
      </c>
      <c r="L6" s="72">
        <f>F5</f>
        <v>420353</v>
      </c>
      <c r="M6" s="73">
        <f>G5</f>
        <v>418213</v>
      </c>
    </row>
    <row r="7" spans="2:13" x14ac:dyDescent="0.3">
      <c r="B7" s="312" t="s">
        <v>62</v>
      </c>
      <c r="C7" s="313"/>
      <c r="D7" s="331"/>
      <c r="E7" s="255"/>
      <c r="F7" s="255"/>
      <c r="G7" s="258"/>
      <c r="I7" s="312" t="s">
        <v>61</v>
      </c>
      <c r="J7" s="371"/>
      <c r="K7" s="71">
        <f t="shared" ref="K7:M7" si="0">E6</f>
        <v>0</v>
      </c>
      <c r="L7" s="72">
        <f t="shared" si="0"/>
        <v>0</v>
      </c>
      <c r="M7" s="73">
        <f t="shared" si="0"/>
        <v>0</v>
      </c>
    </row>
    <row r="8" spans="2:13" x14ac:dyDescent="0.3">
      <c r="B8" s="312" t="s">
        <v>63</v>
      </c>
      <c r="C8" s="313"/>
      <c r="D8" s="331"/>
      <c r="E8" s="255"/>
      <c r="F8" s="255"/>
      <c r="G8" s="258"/>
      <c r="I8" s="312" t="s">
        <v>63</v>
      </c>
      <c r="J8" s="371"/>
      <c r="K8" s="71">
        <f t="shared" ref="K8:M9" si="1">E8</f>
        <v>0</v>
      </c>
      <c r="L8" s="72">
        <f t="shared" si="1"/>
        <v>0</v>
      </c>
      <c r="M8" s="73">
        <f t="shared" si="1"/>
        <v>0</v>
      </c>
    </row>
    <row r="9" spans="2:13" x14ac:dyDescent="0.3">
      <c r="B9" s="312" t="s">
        <v>64</v>
      </c>
      <c r="C9" s="313"/>
      <c r="D9" s="331"/>
      <c r="E9" s="255"/>
      <c r="F9" s="255"/>
      <c r="G9" s="258"/>
      <c r="I9" s="312" t="s">
        <v>64</v>
      </c>
      <c r="J9" s="371"/>
      <c r="K9" s="71">
        <f t="shared" si="1"/>
        <v>0</v>
      </c>
      <c r="L9" s="72">
        <f t="shared" si="1"/>
        <v>0</v>
      </c>
      <c r="M9" s="73">
        <f t="shared" si="1"/>
        <v>0</v>
      </c>
    </row>
    <row r="10" spans="2:13" x14ac:dyDescent="0.3">
      <c r="B10" s="312" t="s">
        <v>65</v>
      </c>
      <c r="C10" s="313"/>
      <c r="D10" s="331"/>
      <c r="E10" s="255">
        <v>202043</v>
      </c>
      <c r="F10" s="255">
        <v>233833</v>
      </c>
      <c r="G10" s="258">
        <v>237336</v>
      </c>
      <c r="I10" s="312" t="s">
        <v>72</v>
      </c>
      <c r="J10" s="371"/>
      <c r="K10" s="71">
        <f t="shared" ref="K10:M11" si="2">E17</f>
        <v>0</v>
      </c>
      <c r="L10" s="72">
        <f t="shared" si="2"/>
        <v>0</v>
      </c>
      <c r="M10" s="73">
        <f t="shared" si="2"/>
        <v>0</v>
      </c>
    </row>
    <row r="11" spans="2:13" ht="16.2" thickBot="1" x14ac:dyDescent="0.35">
      <c r="B11" s="312" t="s">
        <v>66</v>
      </c>
      <c r="C11" s="313"/>
      <c r="D11" s="331"/>
      <c r="E11" s="255">
        <v>46794</v>
      </c>
      <c r="F11" s="255">
        <v>56194</v>
      </c>
      <c r="G11" s="258">
        <v>41697</v>
      </c>
      <c r="I11" s="316" t="s">
        <v>73</v>
      </c>
      <c r="J11" s="372"/>
      <c r="K11" s="74">
        <f t="shared" si="2"/>
        <v>10285</v>
      </c>
      <c r="L11" s="75">
        <f t="shared" si="2"/>
        <v>11055</v>
      </c>
      <c r="M11" s="76">
        <f t="shared" si="2"/>
        <v>11915</v>
      </c>
    </row>
    <row r="12" spans="2:13" x14ac:dyDescent="0.3">
      <c r="B12" s="312" t="s">
        <v>67</v>
      </c>
      <c r="C12" s="313"/>
      <c r="D12" s="331"/>
      <c r="E12" s="255">
        <v>85035</v>
      </c>
      <c r="F12" s="255">
        <v>106131</v>
      </c>
      <c r="G12" s="258">
        <v>83002</v>
      </c>
      <c r="I12" s="318" t="s">
        <v>111</v>
      </c>
      <c r="J12" s="373"/>
      <c r="K12" s="68">
        <f>SUM(K13:K22)</f>
        <v>363733</v>
      </c>
      <c r="L12" s="69">
        <f>SUM(L13:L22)</f>
        <v>425681</v>
      </c>
      <c r="M12" s="70">
        <f>SUM(M13:M22)</f>
        <v>391067</v>
      </c>
    </row>
    <row r="13" spans="2:13" x14ac:dyDescent="0.3">
      <c r="B13" s="312" t="s">
        <v>69</v>
      </c>
      <c r="C13" s="313"/>
      <c r="D13" s="331"/>
      <c r="E13" s="255"/>
      <c r="F13" s="255"/>
      <c r="G13" s="258"/>
      <c r="I13" s="312" t="s">
        <v>65</v>
      </c>
      <c r="J13" s="371"/>
      <c r="K13" s="71">
        <f>E10</f>
        <v>202043</v>
      </c>
      <c r="L13" s="72">
        <f>F10</f>
        <v>233833</v>
      </c>
      <c r="M13" s="73">
        <f>G10</f>
        <v>237336</v>
      </c>
    </row>
    <row r="14" spans="2:13" x14ac:dyDescent="0.3">
      <c r="B14" s="312" t="s">
        <v>70</v>
      </c>
      <c r="C14" s="313"/>
      <c r="D14" s="331"/>
      <c r="E14" s="255"/>
      <c r="F14" s="255"/>
      <c r="G14" s="258"/>
      <c r="I14" s="312" t="s">
        <v>66</v>
      </c>
      <c r="J14" s="371"/>
      <c r="K14" s="71">
        <f t="shared" ref="K14:M19" si="3">E11</f>
        <v>46794</v>
      </c>
      <c r="L14" s="72">
        <f t="shared" si="3"/>
        <v>56194</v>
      </c>
      <c r="M14" s="73">
        <f t="shared" si="3"/>
        <v>41697</v>
      </c>
    </row>
    <row r="15" spans="2:13" x14ac:dyDescent="0.3">
      <c r="B15" s="312" t="s">
        <v>68</v>
      </c>
      <c r="C15" s="313"/>
      <c r="D15" s="331"/>
      <c r="E15" s="255"/>
      <c r="F15" s="255"/>
      <c r="G15" s="258"/>
      <c r="I15" s="312" t="s">
        <v>67</v>
      </c>
      <c r="J15" s="371"/>
      <c r="K15" s="71">
        <f t="shared" si="3"/>
        <v>85035</v>
      </c>
      <c r="L15" s="72">
        <f t="shared" si="3"/>
        <v>106131</v>
      </c>
      <c r="M15" s="73">
        <f t="shared" si="3"/>
        <v>83002</v>
      </c>
    </row>
    <row r="16" spans="2:13" x14ac:dyDescent="0.3">
      <c r="B16" s="312" t="s">
        <v>71</v>
      </c>
      <c r="C16" s="313"/>
      <c r="D16" s="331"/>
      <c r="E16" s="255"/>
      <c r="F16" s="255"/>
      <c r="G16" s="258"/>
      <c r="I16" s="312" t="s">
        <v>69</v>
      </c>
      <c r="J16" s="371"/>
      <c r="K16" s="71">
        <f t="shared" si="3"/>
        <v>0</v>
      </c>
      <c r="L16" s="72">
        <f t="shared" si="3"/>
        <v>0</v>
      </c>
      <c r="M16" s="73">
        <f t="shared" si="3"/>
        <v>0</v>
      </c>
    </row>
    <row r="17" spans="2:13" x14ac:dyDescent="0.3">
      <c r="B17" s="312" t="s">
        <v>72</v>
      </c>
      <c r="C17" s="313"/>
      <c r="D17" s="331"/>
      <c r="E17" s="255"/>
      <c r="F17" s="255"/>
      <c r="G17" s="258"/>
      <c r="I17" s="312" t="s">
        <v>70</v>
      </c>
      <c r="J17" s="371"/>
      <c r="K17" s="71">
        <f t="shared" si="3"/>
        <v>0</v>
      </c>
      <c r="L17" s="72">
        <f t="shared" si="3"/>
        <v>0</v>
      </c>
      <c r="M17" s="73">
        <f t="shared" si="3"/>
        <v>0</v>
      </c>
    </row>
    <row r="18" spans="2:13" x14ac:dyDescent="0.3">
      <c r="B18" s="312" t="s">
        <v>73</v>
      </c>
      <c r="C18" s="313"/>
      <c r="D18" s="331"/>
      <c r="E18" s="255">
        <v>10285</v>
      </c>
      <c r="F18" s="255">
        <v>11055</v>
      </c>
      <c r="G18" s="258">
        <v>11915</v>
      </c>
      <c r="I18" s="312" t="s">
        <v>68</v>
      </c>
      <c r="J18" s="371"/>
      <c r="K18" s="71">
        <f t="shared" si="3"/>
        <v>0</v>
      </c>
      <c r="L18" s="72">
        <f t="shared" si="3"/>
        <v>0</v>
      </c>
      <c r="M18" s="73">
        <f t="shared" si="3"/>
        <v>0</v>
      </c>
    </row>
    <row r="19" spans="2:13" x14ac:dyDescent="0.3">
      <c r="B19" s="312" t="s">
        <v>74</v>
      </c>
      <c r="C19" s="313"/>
      <c r="D19" s="331"/>
      <c r="E19" s="255">
        <v>9521</v>
      </c>
      <c r="F19" s="255">
        <v>5808</v>
      </c>
      <c r="G19" s="258">
        <v>14390</v>
      </c>
      <c r="I19" s="312" t="s">
        <v>71</v>
      </c>
      <c r="J19" s="371"/>
      <c r="K19" s="71">
        <f t="shared" si="3"/>
        <v>0</v>
      </c>
      <c r="L19" s="72">
        <f t="shared" si="3"/>
        <v>0</v>
      </c>
      <c r="M19" s="73">
        <f t="shared" si="3"/>
        <v>0</v>
      </c>
    </row>
    <row r="20" spans="2:13" x14ac:dyDescent="0.3">
      <c r="B20" s="312"/>
      <c r="C20" s="313"/>
      <c r="D20" s="331"/>
      <c r="E20" s="255"/>
      <c r="F20" s="255"/>
      <c r="G20" s="258"/>
      <c r="I20" s="312" t="s">
        <v>74</v>
      </c>
      <c r="J20" s="371"/>
      <c r="K20" s="71">
        <f>E19</f>
        <v>9521</v>
      </c>
      <c r="L20" s="72">
        <f>F19</f>
        <v>5808</v>
      </c>
      <c r="M20" s="73">
        <f>G19</f>
        <v>14390</v>
      </c>
    </row>
    <row r="21" spans="2:13" x14ac:dyDescent="0.3">
      <c r="B21" s="314" t="s">
        <v>75</v>
      </c>
      <c r="C21" s="315"/>
      <c r="D21" s="331"/>
      <c r="E21" s="255">
        <f>E5-E10-E11-E12+E18-E19</f>
        <v>63957</v>
      </c>
      <c r="F21" s="255">
        <f t="shared" ref="F21:G21" si="4">F5-F10-F11-F12+F18-F19</f>
        <v>29442</v>
      </c>
      <c r="G21" s="255">
        <f t="shared" si="4"/>
        <v>53703</v>
      </c>
      <c r="I21" s="312" t="s">
        <v>76</v>
      </c>
      <c r="J21" s="371"/>
      <c r="K21" s="71">
        <f>E22</f>
        <v>20340</v>
      </c>
      <c r="L21" s="72">
        <f>F22</f>
        <v>23715</v>
      </c>
      <c r="M21" s="73">
        <f>G22</f>
        <v>14642</v>
      </c>
    </row>
    <row r="22" spans="2:13" ht="16.2" thickBot="1" x14ac:dyDescent="0.35">
      <c r="B22" s="312" t="s">
        <v>76</v>
      </c>
      <c r="C22" s="313"/>
      <c r="D22" s="331"/>
      <c r="E22" s="255">
        <v>20340</v>
      </c>
      <c r="F22" s="255">
        <v>23715</v>
      </c>
      <c r="G22" s="258">
        <v>14642</v>
      </c>
      <c r="I22" s="384" t="s">
        <v>77</v>
      </c>
      <c r="J22" s="385"/>
      <c r="K22" s="74"/>
      <c r="L22" s="75"/>
      <c r="M22" s="76"/>
    </row>
    <row r="23" spans="2:13" x14ac:dyDescent="0.3">
      <c r="B23" s="312" t="s">
        <v>77</v>
      </c>
      <c r="C23" s="313"/>
      <c r="D23" s="331"/>
      <c r="E23" s="255"/>
      <c r="F23" s="255"/>
      <c r="G23" s="258"/>
      <c r="I23" s="342" t="s">
        <v>112</v>
      </c>
      <c r="J23" s="344"/>
      <c r="K23" s="68">
        <f>SUM(K24:K25)</f>
        <v>5293</v>
      </c>
      <c r="L23" s="69">
        <f>SUM(L24:L25)</f>
        <v>5398</v>
      </c>
      <c r="M23" s="70">
        <f>SUM(M24:M25)</f>
        <v>8424</v>
      </c>
    </row>
    <row r="24" spans="2:13" x14ac:dyDescent="0.3">
      <c r="B24" s="312"/>
      <c r="C24" s="313"/>
      <c r="D24" s="331"/>
      <c r="E24" s="259"/>
      <c r="F24" s="259"/>
      <c r="G24" s="260"/>
      <c r="I24" s="380" t="s">
        <v>79</v>
      </c>
      <c r="J24" s="381"/>
      <c r="K24" s="71">
        <f t="shared" ref="K24:M25" si="5">E26</f>
        <v>0</v>
      </c>
      <c r="L24" s="72">
        <f t="shared" si="5"/>
        <v>0</v>
      </c>
      <c r="M24" s="73">
        <f t="shared" si="5"/>
        <v>0</v>
      </c>
    </row>
    <row r="25" spans="2:13" ht="16.2" thickBot="1" x14ac:dyDescent="0.35">
      <c r="B25" s="314" t="s">
        <v>78</v>
      </c>
      <c r="C25" s="315"/>
      <c r="D25" s="331"/>
      <c r="E25" s="255">
        <f>E21-E22</f>
        <v>43617</v>
      </c>
      <c r="F25" s="255">
        <f>F21-F22</f>
        <v>5727</v>
      </c>
      <c r="G25" s="258">
        <f>G21-G22</f>
        <v>39061</v>
      </c>
      <c r="I25" s="384" t="s">
        <v>80</v>
      </c>
      <c r="J25" s="385"/>
      <c r="K25" s="74">
        <f t="shared" si="5"/>
        <v>5293</v>
      </c>
      <c r="L25" s="75">
        <f t="shared" si="5"/>
        <v>5398</v>
      </c>
      <c r="M25" s="76">
        <f t="shared" si="5"/>
        <v>8424</v>
      </c>
    </row>
    <row r="26" spans="2:13" x14ac:dyDescent="0.3">
      <c r="B26" s="312" t="s">
        <v>79</v>
      </c>
      <c r="C26" s="313"/>
      <c r="D26" s="331"/>
      <c r="E26" s="259"/>
      <c r="F26" s="259"/>
      <c r="G26" s="260"/>
      <c r="I26" s="342" t="s">
        <v>113</v>
      </c>
      <c r="J26" s="344"/>
      <c r="K26" s="77">
        <f>SUM(K27:K28)</f>
        <v>0</v>
      </c>
      <c r="L26" s="78">
        <f t="shared" ref="L26:M26" si="6">SUM(L27:L28)</f>
        <v>0</v>
      </c>
      <c r="M26" s="79">
        <f t="shared" si="6"/>
        <v>0</v>
      </c>
    </row>
    <row r="27" spans="2:13" x14ac:dyDescent="0.3">
      <c r="B27" s="312" t="s">
        <v>80</v>
      </c>
      <c r="C27" s="313"/>
      <c r="D27" s="331"/>
      <c r="E27" s="255">
        <v>5293</v>
      </c>
      <c r="F27" s="255">
        <v>5398</v>
      </c>
      <c r="G27" s="258">
        <v>8424</v>
      </c>
      <c r="I27" s="380" t="s">
        <v>62</v>
      </c>
      <c r="J27" s="381"/>
      <c r="K27" s="71">
        <f>E7</f>
        <v>0</v>
      </c>
      <c r="L27" s="72">
        <f>F7</f>
        <v>0</v>
      </c>
      <c r="M27" s="73">
        <f>G7</f>
        <v>0</v>
      </c>
    </row>
    <row r="28" spans="2:13" ht="16.2" thickBot="1" x14ac:dyDescent="0.35">
      <c r="B28" s="312" t="s">
        <v>171</v>
      </c>
      <c r="C28" s="313"/>
      <c r="D28" s="331"/>
      <c r="E28" s="255"/>
      <c r="F28" s="255"/>
      <c r="G28" s="258"/>
      <c r="I28" s="384" t="s">
        <v>71</v>
      </c>
      <c r="J28" s="385"/>
      <c r="K28" s="80">
        <f>E16</f>
        <v>0</v>
      </c>
      <c r="L28" s="81">
        <f>F16</f>
        <v>0</v>
      </c>
      <c r="M28" s="82">
        <f>G16</f>
        <v>0</v>
      </c>
    </row>
    <row r="29" spans="2:13" x14ac:dyDescent="0.3">
      <c r="B29" s="314" t="s">
        <v>81</v>
      </c>
      <c r="C29" s="315"/>
      <c r="D29" s="331"/>
      <c r="E29" s="255">
        <f>E25-E27</f>
        <v>38324</v>
      </c>
      <c r="F29" s="255">
        <f>F25-F27</f>
        <v>329</v>
      </c>
      <c r="G29" s="258">
        <f>G25-G27</f>
        <v>30637</v>
      </c>
      <c r="I29" s="386" t="s">
        <v>81</v>
      </c>
      <c r="J29" s="387"/>
      <c r="K29" s="83">
        <f>E29</f>
        <v>38324</v>
      </c>
      <c r="L29" s="69">
        <f t="shared" ref="K29:M31" si="7">F29</f>
        <v>329</v>
      </c>
      <c r="M29" s="70">
        <f t="shared" si="7"/>
        <v>30637</v>
      </c>
    </row>
    <row r="30" spans="2:13" x14ac:dyDescent="0.3">
      <c r="B30" s="314" t="s">
        <v>82</v>
      </c>
      <c r="C30" s="315"/>
      <c r="D30" s="331"/>
      <c r="E30" s="255">
        <v>8503</v>
      </c>
      <c r="F30" s="255">
        <v>1250</v>
      </c>
      <c r="G30" s="258">
        <v>6003</v>
      </c>
      <c r="I30" s="382" t="s">
        <v>82</v>
      </c>
      <c r="J30" s="383"/>
      <c r="K30" s="84">
        <f>E30</f>
        <v>8503</v>
      </c>
      <c r="L30" s="85">
        <f t="shared" si="7"/>
        <v>1250</v>
      </c>
      <c r="M30" s="86">
        <f t="shared" si="7"/>
        <v>6003</v>
      </c>
    </row>
    <row r="31" spans="2:13" ht="16.2" thickBot="1" x14ac:dyDescent="0.35">
      <c r="B31" s="337" t="s">
        <v>83</v>
      </c>
      <c r="C31" s="338"/>
      <c r="D31" s="332"/>
      <c r="E31" s="261">
        <f>E29-E30</f>
        <v>29821</v>
      </c>
      <c r="F31" s="261">
        <f>F29-F30</f>
        <v>-921</v>
      </c>
      <c r="G31" s="262">
        <f>G29-G30</f>
        <v>24634</v>
      </c>
      <c r="I31" s="388" t="s">
        <v>83</v>
      </c>
      <c r="J31" s="389"/>
      <c r="K31" s="87">
        <f t="shared" si="7"/>
        <v>29821</v>
      </c>
      <c r="L31" s="88">
        <f t="shared" si="7"/>
        <v>-921</v>
      </c>
      <c r="M31" s="89">
        <f t="shared" si="7"/>
        <v>24634</v>
      </c>
    </row>
    <row r="32" spans="2:13" x14ac:dyDescent="0.3">
      <c r="I32" s="386" t="s">
        <v>114</v>
      </c>
      <c r="J32" s="387"/>
      <c r="K32" s="90"/>
      <c r="L32" s="91"/>
      <c r="M32" s="92"/>
    </row>
    <row r="33" spans="2:13" x14ac:dyDescent="0.3">
      <c r="I33" s="382" t="s">
        <v>115</v>
      </c>
      <c r="J33" s="383"/>
      <c r="K33" s="93">
        <f>K31-K32</f>
        <v>29821</v>
      </c>
      <c r="L33" s="72">
        <f t="shared" ref="L33:M33" si="8">L31-L32</f>
        <v>-921</v>
      </c>
      <c r="M33" s="73">
        <f t="shared" si="8"/>
        <v>24634</v>
      </c>
    </row>
    <row r="34" spans="2:13" ht="16.2" thickBot="1" x14ac:dyDescent="0.35">
      <c r="I34" s="55"/>
      <c r="J34" s="94"/>
      <c r="K34" s="95"/>
      <c r="L34" s="75"/>
      <c r="M34" s="76"/>
    </row>
    <row r="37" spans="2:13" x14ac:dyDescent="0.3">
      <c r="B37" s="2"/>
    </row>
  </sheetData>
  <sheetProtection algorithmName="SHA-512" hashValue="R6E3Wma8rKDqhaLK21G9RycCIZznETLu9KIKOAJw6LnLxePGYPm3QDqlC85UypVrXOfPli3EvxszteZnPKlzVQ==" saltValue="05bRkOsfFTdV1YDuDvbbsA==" spinCount="100000" sheet="1" objects="1" scenarios="1" selectLockedCells="1"/>
  <mergeCells count="64">
    <mergeCell ref="B2:C2"/>
    <mergeCell ref="I24:J24"/>
    <mergeCell ref="I23:J23"/>
    <mergeCell ref="I33:J33"/>
    <mergeCell ref="I22:J22"/>
    <mergeCell ref="I32:J32"/>
    <mergeCell ref="I31:J31"/>
    <mergeCell ref="I30:J30"/>
    <mergeCell ref="I29:J29"/>
    <mergeCell ref="I26:J26"/>
    <mergeCell ref="I25:J25"/>
    <mergeCell ref="I27:J27"/>
    <mergeCell ref="I28:J28"/>
    <mergeCell ref="I21:J21"/>
    <mergeCell ref="I15:J15"/>
    <mergeCell ref="I16:J16"/>
    <mergeCell ref="I17:J17"/>
    <mergeCell ref="I18:J18"/>
    <mergeCell ref="I19:J19"/>
    <mergeCell ref="I20:J20"/>
    <mergeCell ref="I14:J14"/>
    <mergeCell ref="I4:J4"/>
    <mergeCell ref="I3:M3"/>
    <mergeCell ref="I5:J5"/>
    <mergeCell ref="I8:J8"/>
    <mergeCell ref="I6:J6"/>
    <mergeCell ref="I7:J7"/>
    <mergeCell ref="I9:J9"/>
    <mergeCell ref="I10:J10"/>
    <mergeCell ref="I11:J11"/>
    <mergeCell ref="I12:J12"/>
    <mergeCell ref="I13:J13"/>
    <mergeCell ref="B20:C20"/>
    <mergeCell ref="B28:C28"/>
    <mergeCell ref="B29:C29"/>
    <mergeCell ref="B30:C30"/>
    <mergeCell ref="B31:C31"/>
    <mergeCell ref="B22:C22"/>
    <mergeCell ref="B23:C23"/>
    <mergeCell ref="B24:C24"/>
    <mergeCell ref="B25:C25"/>
    <mergeCell ref="B26:C26"/>
    <mergeCell ref="B27:C27"/>
    <mergeCell ref="B15:C15"/>
    <mergeCell ref="B16:C16"/>
    <mergeCell ref="B17:C17"/>
    <mergeCell ref="B18:C18"/>
    <mergeCell ref="B19:C19"/>
    <mergeCell ref="D2:G2"/>
    <mergeCell ref="B3:E3"/>
    <mergeCell ref="F3:G3"/>
    <mergeCell ref="B4:C4"/>
    <mergeCell ref="B5:C5"/>
    <mergeCell ref="D5:D31"/>
    <mergeCell ref="B6:C6"/>
    <mergeCell ref="B7:C7"/>
    <mergeCell ref="B8:C8"/>
    <mergeCell ref="B9:C9"/>
    <mergeCell ref="B21:C21"/>
    <mergeCell ref="B10:C10"/>
    <mergeCell ref="B11:C11"/>
    <mergeCell ref="B12:C12"/>
    <mergeCell ref="B13:C13"/>
    <mergeCell ref="B14:C14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254DB-637E-4162-ADBA-08C59BAA6776}">
  <sheetPr codeName="Folha4">
    <tabColor rgb="FFC00000"/>
  </sheetPr>
  <dimension ref="A1:P59"/>
  <sheetViews>
    <sheetView topLeftCell="N1" zoomScale="55" zoomScaleNormal="55" workbookViewId="0">
      <selection activeCell="N16" sqref="N16"/>
    </sheetView>
  </sheetViews>
  <sheetFormatPr defaultRowHeight="14.4" x14ac:dyDescent="0.3"/>
  <cols>
    <col min="1" max="1" width="18.77734375" style="9" customWidth="1"/>
    <col min="2" max="2" width="22.33203125" bestFit="1" customWidth="1"/>
    <col min="3" max="3" width="26.5546875" customWidth="1"/>
    <col min="4" max="4" width="14.44140625" bestFit="1" customWidth="1"/>
    <col min="5" max="5" width="20.33203125" bestFit="1" customWidth="1"/>
    <col min="6" max="6" width="72.44140625" customWidth="1"/>
    <col min="7" max="7" width="83.109375" customWidth="1"/>
    <col min="8" max="8" width="3.33203125" bestFit="1" customWidth="1"/>
    <col min="9" max="9" width="71.33203125" bestFit="1" customWidth="1"/>
    <col min="10" max="12" width="14.88671875" bestFit="1" customWidth="1"/>
    <col min="13" max="13" width="33" style="7" bestFit="1" customWidth="1"/>
    <col min="14" max="14" width="215.21875" bestFit="1" customWidth="1"/>
    <col min="15" max="15" width="71.21875" bestFit="1" customWidth="1"/>
    <col min="16" max="16" width="43.5546875" customWidth="1"/>
  </cols>
  <sheetData>
    <row r="1" spans="2:16" s="9" customFormat="1" ht="45" customHeight="1" thickBot="1" x14ac:dyDescent="0.35">
      <c r="M1" s="246"/>
    </row>
    <row r="2" spans="2:16" ht="24" thickBot="1" x14ac:dyDescent="0.5">
      <c r="B2" s="407" t="s">
        <v>183</v>
      </c>
      <c r="C2" s="408"/>
      <c r="D2" s="408"/>
      <c r="E2" s="408"/>
      <c r="F2" s="408"/>
      <c r="G2" s="409"/>
      <c r="H2" s="118"/>
      <c r="I2" s="119" t="s">
        <v>85</v>
      </c>
      <c r="J2" s="119" t="s">
        <v>175</v>
      </c>
      <c r="K2" s="119" t="s">
        <v>176</v>
      </c>
      <c r="L2" s="119" t="s">
        <v>177</v>
      </c>
      <c r="M2" s="119" t="s">
        <v>153</v>
      </c>
      <c r="N2" s="120" t="s">
        <v>173</v>
      </c>
      <c r="O2" s="120" t="s">
        <v>182</v>
      </c>
      <c r="P2" s="268" t="s">
        <v>174</v>
      </c>
    </row>
    <row r="3" spans="2:16" ht="15" thickBot="1" x14ac:dyDescent="0.35">
      <c r="B3" s="98" t="s">
        <v>185</v>
      </c>
      <c r="C3" s="99" t="s">
        <v>184</v>
      </c>
      <c r="D3" s="99" t="s">
        <v>193</v>
      </c>
      <c r="E3" s="100" t="s">
        <v>214</v>
      </c>
      <c r="F3" s="97" t="s">
        <v>194</v>
      </c>
      <c r="G3" s="96" t="s">
        <v>199</v>
      </c>
      <c r="H3" s="128">
        <v>1</v>
      </c>
      <c r="I3" s="13" t="s">
        <v>143</v>
      </c>
      <c r="J3" s="101">
        <f>'Demonstração de Resultados'!K13+'Demonstração de Resultados'!K14+'Demonstração de Resultados'!E28</f>
        <v>248837</v>
      </c>
      <c r="K3" s="101">
        <f>'Demonstração de Resultados'!L13+'Demonstração de Resultados'!L14+'Demonstração de Resultados'!F28</f>
        <v>290027</v>
      </c>
      <c r="L3" s="101">
        <f>'Demonstração de Resultados'!M13+'Demonstração de Resultados'!M14+'Demonstração de Resultados'!G28</f>
        <v>279033</v>
      </c>
      <c r="M3" s="263">
        <v>250000</v>
      </c>
      <c r="N3" s="5" t="str">
        <f>IF(AND(L3&gt;K3,L3&gt;J3),"▼ A empresa está a gastar mais com a sua operação face aos anos anteriores.",
 IF(AND(L3&lt;K3,L3&lt;J3),"▲ A empresa está a gastar menos com a sua operação face aos anos anteriores.",
  IF(AND(L3&lt;K3,L3&gt;J3),"► Os gastos com a operação diminuíram face ao último ano, mas continuam acima de níveis anteriores.",
   IF(AND(L3&gt;K3,L3&lt;J3),"► Os gastos com a operação aumentaram face ao último ano, mas continuam abaixo dos níveis anteriores.",
    "► Os gastos com a operação mantiveram-se estáveis."))))</f>
        <v>► Os gastos com a operação diminuíram face ao último ano, mas continuam acima de níveis anteriores.</v>
      </c>
      <c r="O3" s="5" t="str">
        <f>IF(M3="","",IF(L3&gt;M3,"▲ A empresa apresenta melhor desempenho que o setor neste indicador.",
IF(L3&lt;M3,"▼ A empresa apresenta pior desempenho que o setor neste indicador.",
"► A empresa apresenta um desempenho semelhante ao setor neste indicador.")))</f>
        <v>▲ A empresa apresenta melhor desempenho que o setor neste indicador.</v>
      </c>
      <c r="P3" s="269"/>
    </row>
    <row r="4" spans="2:16" x14ac:dyDescent="0.3">
      <c r="B4" s="412" t="s">
        <v>186</v>
      </c>
      <c r="C4" s="405" t="s">
        <v>190</v>
      </c>
      <c r="D4" s="403">
        <f>L42</f>
        <v>0.21107740818809659</v>
      </c>
      <c r="E4" s="416">
        <v>0.05</v>
      </c>
      <c r="F4" s="401" t="str">
        <f>N42</f>
        <v>► A rentabilidade para os sócios manteve-se estável.</v>
      </c>
      <c r="G4" s="398" t="str">
        <f>IF(D4&lt;E4,"Melhorar margem; aumentar eficiência ou reduzir custos fixos.","")</f>
        <v/>
      </c>
      <c r="H4" s="128">
        <v>2</v>
      </c>
      <c r="I4" s="13" t="s">
        <v>144</v>
      </c>
      <c r="J4" s="101">
        <f>'Demonstração de Resultados'!E5+'Demonstração de Resultados'!E8+'Demonstração de Resultados'!E9+'Demonstração de Resultados'!E6+'Demonstração de Resultados'!E18</f>
        <v>407350</v>
      </c>
      <c r="K4" s="101">
        <f>'Demonstração de Resultados'!F5+'Demonstração de Resultados'!F8+'Demonstração de Resultados'!F9+'Demonstração de Resultados'!F6+'Demonstração de Resultados'!F18</f>
        <v>431408</v>
      </c>
      <c r="L4" s="101">
        <f>'Demonstração de Resultados'!G5+'Demonstração de Resultados'!G8+'Demonstração de Resultados'!G9+'Demonstração de Resultados'!G6+'Demonstração de Resultados'!G18</f>
        <v>430128</v>
      </c>
      <c r="M4" s="263">
        <v>500000</v>
      </c>
      <c r="N4" s="5" t="str">
        <f>IF(AND(L4&gt;K4,L4&gt;J4),"▲ A empresa aumentou o volume total produzido e vendido, mostrando crescimento nas suas operações comerciais.",
 IF(AND(L4&lt;K4,L4&lt;J4),"▼ A empresa reduziu o volume total produzido e vendido, mostrando contração nas suas operações comerciais.",
  IF(AND(L4&lt;K4,L4&gt;J4),"► O volume produzido e vendido caiu face ao último ano, mas ainda é superior ao de há dois anos.",
   IF(AND(L4&gt;K4,L4&lt;J4),"► O volume produzido e vendido aumentou face ao último ano, mas ainda é inferior ao desempenho passado.",
    "► O volume produzido e vendido manteve-se estável."))))</f>
        <v>► O volume produzido e vendido caiu face ao último ano, mas ainda é superior ao de há dois anos.</v>
      </c>
      <c r="O4" s="5" t="str">
        <f t="shared" ref="O4:O59" si="0">IF(M4="","",IF(L4&gt;M4,"▲ A empresa apresenta melhor desempenho que o setor neste indicador.",
IF(L4&lt;M4,"▼ A empresa apresenta pior desempenho que o setor neste indicador.",
"► A empresa apresenta um desempenho semelhante ao setor neste indicador.")))</f>
        <v>▼ A empresa apresenta pior desempenho que o setor neste indicador.</v>
      </c>
      <c r="P4" s="269"/>
    </row>
    <row r="5" spans="2:16" ht="15" thickBot="1" x14ac:dyDescent="0.35">
      <c r="B5" s="413"/>
      <c r="C5" s="406"/>
      <c r="D5" s="404"/>
      <c r="E5" s="420"/>
      <c r="F5" s="402"/>
      <c r="G5" s="399"/>
      <c r="H5" s="128">
        <v>3</v>
      </c>
      <c r="I5" s="13" t="s">
        <v>145</v>
      </c>
      <c r="J5" s="101">
        <f>J4-J3</f>
        <v>158513</v>
      </c>
      <c r="K5" s="101">
        <f t="shared" ref="K5:L5" si="1">K4-K3</f>
        <v>141381</v>
      </c>
      <c r="L5" s="101">
        <f t="shared" si="1"/>
        <v>151095</v>
      </c>
      <c r="M5" s="263">
        <v>200000</v>
      </c>
      <c r="N5" s="5" t="str">
        <f>IF(AND(L5&gt;K5,L5&gt;J5),"▲ A empresa está a criar mais valor económico face aos anos anteriores.",
 IF(AND(L5&lt;K5,L5&lt;J5),"▼ A empresa está a criar menos valor económico face aos anos anteriores.",
  IF(AND(L5&lt;K5,L5&gt;J5),"► O valor económico criado diminuiu face ao último ano, mas continua acima dos níveis anteriores.",
   IF(AND(L5&gt;K5,L5&lt;J5),"► O valor económico criado aumentou face ao último ano, mas continua abaixo dos níveis anteriores.",
    "► A criação de valor económico manteve-se estável."))))</f>
        <v>► O valor económico criado aumentou face ao último ano, mas continua abaixo dos níveis anteriores.</v>
      </c>
      <c r="O5" s="5" t="str">
        <f t="shared" si="0"/>
        <v>▼ A empresa apresenta pior desempenho que o setor neste indicador.</v>
      </c>
      <c r="P5" s="269"/>
    </row>
    <row r="6" spans="2:16" x14ac:dyDescent="0.3">
      <c r="B6" s="413"/>
      <c r="C6" s="406" t="s">
        <v>191</v>
      </c>
      <c r="D6" s="404">
        <f>L41</f>
        <v>0.12898059727120234</v>
      </c>
      <c r="E6" s="421">
        <v>0.03</v>
      </c>
      <c r="F6" s="402" t="str">
        <f>N41</f>
        <v>▲ A empresa melhorou a capacidade de gerar resultados operacionais com o total dos ativos investidos.</v>
      </c>
      <c r="G6" s="398" t="str">
        <f>IF(D6&lt;E6,"Aumentar a rentabilidade operacional com melhor gestão dos ativos e redução de ineficiências.","")</f>
        <v/>
      </c>
      <c r="H6" s="128">
        <v>4</v>
      </c>
      <c r="I6" s="13" t="s">
        <v>146</v>
      </c>
      <c r="J6" s="101"/>
      <c r="K6" s="121">
        <f>(K5-J5)/J5</f>
        <v>-0.10807946351403355</v>
      </c>
      <c r="L6" s="121">
        <f>(L5-K5)/K5</f>
        <v>6.8707959343900518E-2</v>
      </c>
      <c r="M6" s="264">
        <v>0.05</v>
      </c>
      <c r="N6" s="5" t="str">
        <f>IF(L6&gt;0,"▲ A empresa está em crescimento.",
 IF(L6&lt;0,"▼ A empresa está a regredir.",
  "► A empresa mantém estabilidade nas suas operações."))</f>
        <v>▲ A empresa está em crescimento.</v>
      </c>
      <c r="O6" s="5" t="str">
        <f t="shared" si="0"/>
        <v>▲ A empresa apresenta melhor desempenho que o setor neste indicador.</v>
      </c>
      <c r="P6" s="307"/>
    </row>
    <row r="7" spans="2:16" ht="15" thickBot="1" x14ac:dyDescent="0.35">
      <c r="B7" s="414"/>
      <c r="C7" s="393"/>
      <c r="D7" s="395"/>
      <c r="E7" s="417"/>
      <c r="F7" s="397"/>
      <c r="G7" s="400"/>
      <c r="H7" s="128">
        <v>5</v>
      </c>
      <c r="I7" s="13" t="s">
        <v>147</v>
      </c>
      <c r="J7" s="101">
        <f>'Demonstração de Resultados'!E25+'Demonstração de Resultados'!E22+'Demonstração de Resultados'!E23+'Demonstração de Resultados'!E13+'Demonstração de Resultados'!E14+'Demonstração de Resultados'!E15+'Demonstração de Resultados'!E16+'Demonstração de Resultados'!E17</f>
        <v>63957</v>
      </c>
      <c r="K7" s="101">
        <f>'Demonstração de Resultados'!F25+'Demonstração de Resultados'!F22+'Demonstração de Resultados'!F23+'Demonstração de Resultados'!F13+'Demonstração de Resultados'!F14+'Demonstração de Resultados'!F15+'Demonstração de Resultados'!F16+'Demonstração de Resultados'!F17</f>
        <v>29442</v>
      </c>
      <c r="L7" s="101">
        <f>'Demonstração de Resultados'!G25+'Demonstração de Resultados'!G22+'Demonstração de Resultados'!G23+'Demonstração de Resultados'!G13+'Demonstração de Resultados'!G14+'Demonstração de Resultados'!G15+'Demonstração de Resultados'!G16+'Demonstração de Resultados'!G17</f>
        <v>53703</v>
      </c>
      <c r="M7" s="263">
        <v>150000</v>
      </c>
      <c r="N7" s="5" t="str">
        <f>IF(AND(L7&gt;K7,L7&gt;J7),"▲ A empresa aumentou o lucro gerado diretamente pelas suas operações, mostrando maior eficiência na gestão operacional.",
 IF(AND(L7&lt;K7,L7&lt;J7),"▼ A empresa diminuiu o lucro gerado diretamente pelas suas operações, mostrando menor eficiência na gestão operacional.",
  IF(AND(L7&lt;K7,L7&gt;J7),"► O lucro operacional caiu face ao último ano, mas permanece acima dos níveis anteriores, mostrando eficiência intermédia.",
   IF(AND(L7&gt;K7,L7&lt;J7),"► O lucro operacional aumentou face ao último ano, mas continua abaixo do desempenho anterior, mostrando eficiência intermédia.",
    "► O lucro operacional manteve-se estável."))))</f>
        <v>► O lucro operacional aumentou face ao último ano, mas continua abaixo do desempenho anterior, mostrando eficiência intermédia.</v>
      </c>
      <c r="O7" s="5" t="str">
        <f t="shared" si="0"/>
        <v>▼ A empresa apresenta pior desempenho que o setor neste indicador.</v>
      </c>
      <c r="P7" s="269"/>
    </row>
    <row r="8" spans="2:16" x14ac:dyDescent="0.3">
      <c r="B8" s="390" t="s">
        <v>187</v>
      </c>
      <c r="C8" s="392" t="s">
        <v>192</v>
      </c>
      <c r="D8" s="394">
        <f>L10</f>
        <v>0.38536672346158418</v>
      </c>
      <c r="E8" s="416">
        <v>0.33</v>
      </c>
      <c r="F8" s="396" t="str">
        <f>N10</f>
        <v>► Autonomia financeira razoável, mas atenção ao equilíbrio entre capitais próprios e alheios.</v>
      </c>
      <c r="G8" s="398" t="str">
        <f>IF(D8&lt;E8,"Reforçar capitais próprios ou reduzir endividamento.","")</f>
        <v/>
      </c>
      <c r="H8" s="128">
        <v>6</v>
      </c>
      <c r="I8" s="13" t="s">
        <v>148</v>
      </c>
      <c r="J8" s="101">
        <f>'Demonstração de Resultados'!E25+'Demonstração de Resultados'!E13+'Demonstração de Resultados'!E14+'Demonstração de Resultados'!E16+'Demonstração de Resultados'!E17</f>
        <v>43617</v>
      </c>
      <c r="K8" s="101">
        <f>'Demonstração de Resultados'!F25+'Demonstração de Resultados'!F13+'Demonstração de Resultados'!F14+'Demonstração de Resultados'!F16+'Demonstração de Resultados'!F17</f>
        <v>5727</v>
      </c>
      <c r="L8" s="101">
        <f>'Demonstração de Resultados'!G25+'Demonstração de Resultados'!G13+'Demonstração de Resultados'!G14+'Demonstração de Resultados'!G16+'Demonstração de Resultados'!G17</f>
        <v>39061</v>
      </c>
      <c r="M8" s="263">
        <v>150000</v>
      </c>
      <c r="N8" s="5" t="str">
        <f>IF(AND(L8&gt;K8,L8&gt;J8),"▲ O excedente líquido (lucro após considerar depreciações e provisões) melhorou face aos anos anteriores, revelando maior capacidade real de gerar dinheiro com as operações.",
 IF(AND(L8&lt;K8,L8&lt;J8),"▼ O excedente líquido (lucro após considerar depreciações e provisões) piorou face aos anos anteriores, revelando menor capacidade real de gerar dinheiro com as operações.",
  IF(AND(L8&lt;K8,L8&gt;J8),"► O excedente líquido diminuiu face ao último ano, mas mantém-se acima dos níveis anteriores, indicando uma capacidade intermédia de geração de dinheiro com as operações.",
   IF(AND(L8&gt;K8,L8&lt;J8),"► O excedente líquido aumentou face ao último ano, mas ainda está abaixo dos níveis anteriores, indicando uma capacidade intermédia de geração de dinheiro com as operações.",
    "► O excedente líquido manteve-se estável, indicando uma capacidade constante de geração de dinheiro com as operações."))))</f>
        <v>► O excedente líquido aumentou face ao último ano, mas ainda está abaixo dos níveis anteriores, indicando uma capacidade intermédia de geração de dinheiro com as operações.</v>
      </c>
      <c r="O8" s="5" t="str">
        <f t="shared" si="0"/>
        <v>▼ A empresa apresenta pior desempenho que o setor neste indicador.</v>
      </c>
      <c r="P8" s="269"/>
    </row>
    <row r="9" spans="2:16" ht="15" thickBot="1" x14ac:dyDescent="0.35">
      <c r="B9" s="415"/>
      <c r="C9" s="406"/>
      <c r="D9" s="404"/>
      <c r="E9" s="420"/>
      <c r="F9" s="402"/>
      <c r="G9" s="400"/>
      <c r="H9" s="128"/>
      <c r="I9" s="129" t="s">
        <v>116</v>
      </c>
      <c r="J9" s="101"/>
      <c r="K9" s="101"/>
      <c r="L9" s="101"/>
      <c r="M9" s="265"/>
      <c r="N9" s="102"/>
      <c r="O9" s="102" t="str">
        <f t="shared" si="0"/>
        <v/>
      </c>
      <c r="P9" s="270"/>
    </row>
    <row r="10" spans="2:16" x14ac:dyDescent="0.3">
      <c r="B10" s="415"/>
      <c r="C10" s="406" t="s">
        <v>294</v>
      </c>
      <c r="D10" s="410">
        <f>L23</f>
        <v>4.6368708452041787</v>
      </c>
      <c r="E10" s="422">
        <v>1</v>
      </c>
      <c r="F10" s="402" t="str">
        <f>N23</f>
        <v>▲ A empresa tem boa capacidade para suportar custos financeiros. Este indicador melhorou face ao último ano.</v>
      </c>
      <c r="G10" s="398" t="str">
        <f>IF(D10&lt;E10,"Reestruturar a dívida: renegociar prazos de financiamento, consolidar empréstimos ou cortar custos operacionais para aumentar a margem.","")</f>
        <v/>
      </c>
      <c r="H10" s="128">
        <v>7</v>
      </c>
      <c r="I10" s="13" t="s">
        <v>120</v>
      </c>
      <c r="J10" s="121">
        <f>Balanço!E47/Balanço!E30</f>
        <v>0.34490877675930537</v>
      </c>
      <c r="K10" s="121">
        <f>Balanço!F47/Balanço!F30</f>
        <v>0.33483017583081182</v>
      </c>
      <c r="L10" s="121">
        <f>Balanço!G47/Balanço!G30</f>
        <v>0.38536672346158418</v>
      </c>
      <c r="M10" s="264">
        <v>0.3</v>
      </c>
      <c r="N10" s="5" t="str">
        <f>IF(L10&gt;=0.5,"▲ Excelente autonomia financeira. A empresa utiliza maioritariamente fundos próprios, revelando baixo risco financeiro.",
 IF(AND(L10&gt;=0.3333,L10&lt;0.5),"► Autonomia financeira razoável, mas atenção ao equilíbrio entre capitais próprios e alheios.",
  "▼ Autonomia financeira baixa. A empresa depende demasiado de financiamento externo, o que aumenta o risco financeiro."))</f>
        <v>► Autonomia financeira razoável, mas atenção ao equilíbrio entre capitais próprios e alheios.</v>
      </c>
      <c r="O10" s="5" t="str">
        <f t="shared" si="0"/>
        <v>▲ A empresa apresenta melhor desempenho que o setor neste indicador.</v>
      </c>
      <c r="P10" s="269"/>
    </row>
    <row r="11" spans="2:16" ht="15" thickBot="1" x14ac:dyDescent="0.35">
      <c r="B11" s="391"/>
      <c r="C11" s="393"/>
      <c r="D11" s="411"/>
      <c r="E11" s="423"/>
      <c r="F11" s="397"/>
      <c r="G11" s="400"/>
      <c r="H11" s="128">
        <v>8</v>
      </c>
      <c r="I11" s="13" t="s">
        <v>121</v>
      </c>
      <c r="J11" s="121">
        <f>Balanço!E68/Balanço!E30</f>
        <v>0.65509122324069469</v>
      </c>
      <c r="K11" s="121">
        <f>Balanço!F68/Balanço!F30</f>
        <v>0.66516982416918813</v>
      </c>
      <c r="L11" s="121">
        <f>Balanço!G68/Balanço!G30</f>
        <v>0.61463327653841582</v>
      </c>
      <c r="M11" s="264">
        <v>0.5</v>
      </c>
      <c r="N11" s="5" t="str">
        <f>IF(L11&lt;0.5,"▲ Nível saudável de endividamento. A empresa mantém dívidas controladas, com risco financeiro reduzido.",
 IF(AND(L11&gt;=0.5,L11&lt;=0.66),"► Nível moderado de endividamento. Necessária atenção à gestão da dívida para evitar riscos futuros.",
  "▼ Elevado nível de endividamento. A empresa apresenta grande dependência de dívidas, aumentando o risco financeiro."))</f>
        <v>► Nível moderado de endividamento. Necessária atenção à gestão da dívida para evitar riscos futuros.</v>
      </c>
      <c r="O11" s="5" t="str">
        <f>IF(M11="","",IF(L11&lt;M11,"▲ A empresa apresenta melhor desempenho que o setor neste indicador.",
IF(L11&gt;M11,"▼ A empresa apresenta pior desempenho que o setor neste indicador.",
"► A empresa apresenta um desempenho semelhante ao setor neste indicador.")))</f>
        <v>▼ A empresa apresenta pior desempenho que o setor neste indicador.</v>
      </c>
      <c r="P11" s="269"/>
    </row>
    <row r="12" spans="2:16" x14ac:dyDescent="0.3">
      <c r="B12" s="390" t="s">
        <v>196</v>
      </c>
      <c r="C12" s="392" t="s">
        <v>197</v>
      </c>
      <c r="D12" s="394" t="str">
        <f>L14</f>
        <v>Mau</v>
      </c>
      <c r="E12" s="424" t="s">
        <v>318</v>
      </c>
      <c r="F12" s="396" t="str">
        <f>N14</f>
        <v>▼ Situação financeira crítica, com desequilíbrio elevado: fundo de maneio negativo e tesouraria deficitária. Risco iminente de incapacidade em cumprir compromissos financeiros.</v>
      </c>
      <c r="G12" s="398" t="str">
        <f>IF(D12="mau","A empresa está demasiado dependente de dívidas de curto prazo. Deve procurar financiamento a longo prazo ou reforçar o capital próprio para ganhar estabilidade.","")</f>
        <v>A empresa está demasiado dependente de dívidas de curto prazo. Deve procurar financiamento a longo prazo ou reforçar o capital próprio para ganhar estabilidade.</v>
      </c>
      <c r="H12" s="128">
        <v>9</v>
      </c>
      <c r="I12" s="13" t="s">
        <v>122</v>
      </c>
      <c r="J12" s="121">
        <f>Balanço!E47/Balanço!E68</f>
        <v>0.52650495766538219</v>
      </c>
      <c r="K12" s="121">
        <f>Balanço!F47/Balanço!F68</f>
        <v>0.50337547444973485</v>
      </c>
      <c r="L12" s="121">
        <f>Balanço!G47/Balanço!G68</f>
        <v>0.62698642942333105</v>
      </c>
      <c r="M12" s="264">
        <v>0.9</v>
      </c>
      <c r="N12" s="5" t="str">
        <f>IF(L12&gt;=1,"▲ Excelente solvabilidade. A empresa consegue facilmente cobrir as suas dívidas com recursos próprios.",
 IF(AND(L12&gt;=0.5,L12&lt;1),"► Solvabilidade aceitável, mas pode existir alguma vulnerabilidade financeira.",
  "▼ Solvabilidade insuficiente. A empresa poderá enfrentar dificuldades financeiras para honrar as suas dívidas."))</f>
        <v>► Solvabilidade aceitável, mas pode existir alguma vulnerabilidade financeira.</v>
      </c>
      <c r="O12" s="5" t="str">
        <f t="shared" si="0"/>
        <v>▼ A empresa apresenta pior desempenho que o setor neste indicador.</v>
      </c>
      <c r="P12" s="269"/>
    </row>
    <row r="13" spans="2:16" ht="15" thickBot="1" x14ac:dyDescent="0.35">
      <c r="B13" s="391"/>
      <c r="C13" s="393"/>
      <c r="D13" s="395"/>
      <c r="E13" s="425"/>
      <c r="F13" s="397"/>
      <c r="G13" s="400"/>
      <c r="H13" s="128">
        <v>10</v>
      </c>
      <c r="I13" s="13" t="s">
        <v>128</v>
      </c>
      <c r="J13" s="122">
        <f>Balanço!E30/Balanço!E68</f>
        <v>1.5265049576653822</v>
      </c>
      <c r="K13" s="122">
        <f>Balanço!F30/Balanço!F68</f>
        <v>1.503375474449735</v>
      </c>
      <c r="L13" s="122">
        <f>Balanço!G30/Balanço!G68</f>
        <v>1.6269864294233312</v>
      </c>
      <c r="M13" s="266">
        <v>1.5</v>
      </c>
      <c r="N13" s="5" t="str">
        <f>IF(L13&gt;1.5,"▲ Boa cobertura das dívidas pelo ativo. A empresa está muito segura para os credores.",
 IF(AND(L13&gt;=1,L13&lt;=1.5),"► Cobertura suficiente, mas deve ser acompanhada de perto.",
  "▼ Cobertura insuficiente. Ativo pode não ser suficiente para cobrir dívidas, situação de risco elevado."))</f>
        <v>▲ Boa cobertura das dívidas pelo ativo. A empresa está muito segura para os credores.</v>
      </c>
      <c r="O13" s="5" t="str">
        <f>IF(M13="","",IF(L13&gt;M13,"▲ A empresa apresenta melhor desempenho que o setor neste indicador.",
IF(L13&lt;M13,"▼ A empresa apresenta pior desempenho que o setor neste indicador.",
"► A empresa apresenta um desempenho semelhante ao setor neste indicador.")))</f>
        <v>▲ A empresa apresenta melhor desempenho que o setor neste indicador.</v>
      </c>
      <c r="P13" s="269"/>
    </row>
    <row r="14" spans="2:16" x14ac:dyDescent="0.3">
      <c r="B14" s="390" t="s">
        <v>188</v>
      </c>
      <c r="C14" s="392" t="s">
        <v>149</v>
      </c>
      <c r="D14" s="394">
        <f>L37</f>
        <v>0.82496007596357201</v>
      </c>
      <c r="E14" s="416">
        <v>1</v>
      </c>
      <c r="F14" s="396" t="str">
        <f>N37</f>
        <v>▼ A empresa pode ter dificuldades em cumprir os compromissos de curto prazo. Indicador diminuiu face aos anos anteriores, piorando a situação financeira.</v>
      </c>
      <c r="G14" s="399" t="str">
        <f>IF(D14&lt;E14,"Melhorar liquidez: renegociar prazos com fornecedores e acelerar cobranças a clientes.","")</f>
        <v>Melhorar liquidez: renegociar prazos com fornecedores e acelerar cobranças a clientes.</v>
      </c>
      <c r="H14" s="128">
        <v>11</v>
      </c>
      <c r="I14" s="130" t="s">
        <v>179</v>
      </c>
      <c r="J14" s="123" t="str">
        <f>IF(AND(Balanço!J7&gt;0,Balanço!J10&lt;0,Balanço!J13&gt;0),"Bom",
 IF(AND(Balanço!J7&gt;0,Balanço!J10&gt;0,Balanço!J13&gt;0),"Bom",
 IF(AND(Balanço!J7&gt;0,Balanço!J10&gt;0,Balanço!J13&lt;0),"Médio",
 IF(AND(Balanço!J7&lt;0,Balanço!J10&lt;0,Balanço!J13&gt;0),"Médio",
 "Mau"))))</f>
        <v>Bom</v>
      </c>
      <c r="K14" s="123" t="str">
        <f>IF(AND(Balanço!J19&gt;0,Balanço!J22&lt;0,Balanço!J25&gt;0),"Bom",
 IF(AND(Balanço!J19&gt;0,Balanço!J22&gt;0,Balanço!J25&gt;0),"Bom",
 IF(AND(Balanço!J19&gt;0,Balanço!J22&gt;0,Balanço!J25&lt;0),"Médio",
 IF(AND(Balanço!J19&lt;0,Balanço!J22&lt;0,Balanço!J25&gt;0),"Médio",
 "Mau"))))</f>
        <v>Bom</v>
      </c>
      <c r="L14" s="123" t="str">
        <f>IF(AND(Balanço!J31&gt;0,Balanço!J34&lt;0,Balanço!J37&gt;0),"Bom",
 IF(AND(Balanço!J31&gt;0,Balanço!J34&gt;0,Balanço!J37&gt;0),"Bom",
 IF(AND(Balanço!J31&gt;0,Balanço!J34&gt;0,Balanço!J37&lt;0),"Médio",
 IF(AND(Balanço!J31&lt;0,Balanço!J34&lt;0,Balanço!J37&gt;0),"Médio",
 "Mau"))))</f>
        <v>Mau</v>
      </c>
      <c r="M14" s="265"/>
      <c r="N14" s="5" t="str">
        <f>IF(AND(Balanço!J31&gt;0,Balanço!J34&gt;0,Balanço!J37&gt;0),
"▲ Situação financeira equilibrada, com fundo de maneio suficiente para cobrir as necessidades operacionais. Manter atenção à gestão de ativos e dívidas de curto prazo.",
IF(AND(Balanço!J31&gt;0,Balanço!J34&gt;0,Balanço!J37&lt;0),
"► Fundo de maneio positivo, mas insuficiente. Empresa depende parcialmente de financiamentos bancários para suportar necessidades operacionais.",
IF(AND(Balanço!J31&lt;0,Balanço!J34&gt;0,Balanço!J37&lt;0),
"▼ Situação financeira delicada: recursos estáveis insuficientes e elevada dependência de financiamentos de curto prazo. Alto risco financeiro.",
IF(AND(Balanço!J31&gt;0,Balanço!J34&lt;0,Balanço!J37&gt;0),
"▲ Situação financeira muito favorável: necessidades operacionais cobertas e excedente financeiro disponível. Atenção apenas à eficiência na aplicação dos recursos.",
IF(AND(Balanço!J31&lt;0,Balanço!J34&lt;0,Balanço!J37&gt;0),
"► Situação financeira razoável, com necessidades operacionais totalmente cobertas, mas risco devido a recursos estáveis insuficientes. Acompanhar evolução com atenção.",
IF(AND(Balanço!J31&lt;0,Balanço!J34&lt;0,Balanço!J37&lt;0),
"▼ Situação financeira crítica, com desequilíbrio elevado: fundo de maneio negativo e tesouraria deficitária. Risco iminente de incapacidade em cumprir compromissos financeiros.",
"► Dados financeiros inconsistentes ou incompletos."))))))</f>
        <v>▼ Situação financeira crítica, com desequilíbrio elevado: fundo de maneio negativo e tesouraria deficitária. Risco iminente de incapacidade em cumprir compromissos financeiros.</v>
      </c>
      <c r="O14" s="5" t="str">
        <f>IF(M14="","",IF(L14&gt;M14,"▲ A empresa apresenta melhor desempenho que o setor neste indicador.",
IF(L14&lt;M14,"▼ A empresa apresenta pior desempenho que o setor neste indicador.",
"► A empresa apresenta um desempenho semelhante ao setor neste indicador.")))</f>
        <v/>
      </c>
      <c r="P14" s="269"/>
    </row>
    <row r="15" spans="2:16" ht="15" thickBot="1" x14ac:dyDescent="0.35">
      <c r="B15" s="391"/>
      <c r="C15" s="393"/>
      <c r="D15" s="395"/>
      <c r="E15" s="417"/>
      <c r="F15" s="397"/>
      <c r="G15" s="399"/>
      <c r="H15" s="128">
        <v>12</v>
      </c>
      <c r="I15" s="13" t="s">
        <v>117</v>
      </c>
      <c r="J15" s="124">
        <f>Balanço!E7+Balanço!$J$9</f>
        <v>197847</v>
      </c>
      <c r="K15" s="124">
        <f>Balanço!F7+Balanço!$J$9</f>
        <v>198544</v>
      </c>
      <c r="L15" s="124">
        <f>Balanço!G7+Balanço!$J$9</f>
        <v>239363</v>
      </c>
      <c r="M15" s="263">
        <v>200000</v>
      </c>
      <c r="N15" s="5" t="str">
        <f>"► A empresa necessita de " &amp; TEXT(L15,"#,##0 €") &amp; " para manter a sua atividade operacional."</f>
        <v>► A empresa necessita de 239363,0 € para manter a sua atividade operacional.</v>
      </c>
      <c r="O15" s="5" t="str">
        <f t="shared" si="0"/>
        <v>▲ A empresa apresenta melhor desempenho que o setor neste indicador.</v>
      </c>
      <c r="P15" s="269"/>
    </row>
    <row r="16" spans="2:16" x14ac:dyDescent="0.3">
      <c r="B16" s="390" t="s">
        <v>189</v>
      </c>
      <c r="C16" s="392" t="s">
        <v>195</v>
      </c>
      <c r="D16" s="394">
        <f>L33</f>
        <v>1.380951909233797</v>
      </c>
      <c r="E16" s="416">
        <v>1</v>
      </c>
      <c r="F16" s="396" t="str">
        <f>N33</f>
        <v>▲ A empresa está mais eficiente em gerar vendas com o investimento total face aos anos anteriores.</v>
      </c>
      <c r="G16" s="398" t="str">
        <f>IF(D16&lt;E16,"Melhorar eficiência operacional e rentabilizar melhor os ativos existentes.","")</f>
        <v/>
      </c>
      <c r="H16" s="128"/>
      <c r="I16" s="129" t="s">
        <v>118</v>
      </c>
      <c r="J16" s="125"/>
      <c r="K16" s="125"/>
      <c r="L16" s="125"/>
      <c r="M16" s="265"/>
      <c r="N16" s="102"/>
      <c r="O16" s="102" t="str">
        <f t="shared" si="0"/>
        <v/>
      </c>
      <c r="P16" s="270"/>
    </row>
    <row r="17" spans="2:16" ht="15" thickBot="1" x14ac:dyDescent="0.35">
      <c r="B17" s="391"/>
      <c r="C17" s="393"/>
      <c r="D17" s="395"/>
      <c r="E17" s="417"/>
      <c r="F17" s="397"/>
      <c r="G17" s="400"/>
      <c r="H17" s="128">
        <v>13</v>
      </c>
      <c r="I17" s="13" t="s">
        <v>119</v>
      </c>
      <c r="J17" s="121">
        <f>Balanço!E50/Balanço!E47</f>
        <v>1.3161764705882353</v>
      </c>
      <c r="K17" s="121">
        <f>Balanço!F50/Balanço!F47</f>
        <v>1.3365790483499616</v>
      </c>
      <c r="L17" s="121">
        <f>Balanço!G50/Balanço!G47</f>
        <v>0.80083286206364712</v>
      </c>
      <c r="M17" s="264">
        <v>0.6</v>
      </c>
      <c r="N17" s="5" t="str">
        <f>IF(L17=1,"► Recursos igualmente divididos entre capital próprio e dívida de curto prazo.",
IF(L17&gt;1,"▼ Dívida de curto prazo predomina sobre fundos próprios, maior risco financeiro.",
"▲ Fundos próprios predominam sobre a dívida de curto prazo, situação favorável financeiramente."))
&amp;
IF(AND(L17&gt;K17,L17&gt;J17)," Indicador aumentou face aos anos anteriores, ou seja, a empresa tem vindo a endividar-se.",
IF(AND(L17&lt;K17,L17&lt;J17)," Indicador diminuiu face aos anos anteriores, ou seja, a empresa tem vindo a diminuir a sua dívida.",
IF(AND(L17&gt;K17,L17&lt;J17)," Indicador aumentou face ao último ano, mas diminuiu em relação a dois anos atrás.",
IF(AND(L17&lt;K17,L17&gt;J17)," Indicador diminuiu face ao último ano, mas aumentou em relação a dois anos atrás.",
" Indicador está estável face aos últimos anos."))))</f>
        <v>▲ Fundos próprios predominam sobre a dívida de curto prazo, situação favorável financeiramente. Indicador diminuiu face aos anos anteriores, ou seja, a empresa tem vindo a diminuir a sua dívida.</v>
      </c>
      <c r="O17" s="5" t="str">
        <f t="shared" si="0"/>
        <v>▲ A empresa apresenta melhor desempenho que o setor neste indicador.</v>
      </c>
      <c r="P17" s="269"/>
    </row>
    <row r="18" spans="2:16" x14ac:dyDescent="0.3">
      <c r="B18" s="390" t="s">
        <v>198</v>
      </c>
      <c r="C18" s="392" t="s">
        <v>168</v>
      </c>
      <c r="D18" s="394">
        <f>L57</f>
        <v>1.2749616476809087</v>
      </c>
      <c r="E18" s="418">
        <v>3</v>
      </c>
      <c r="F18" s="396" t="str">
        <f>N57</f>
        <v>► O risco financeiro manteve-se estável.</v>
      </c>
      <c r="G18" s="398" t="str">
        <f>IF(D18&gt;E18,"Reduzir o risco financeiro: estabilizar os resultados operacionais e controlar o endividamento.","")</f>
        <v/>
      </c>
      <c r="H18" s="128">
        <v>14</v>
      </c>
      <c r="I18" s="13" t="s">
        <v>123</v>
      </c>
      <c r="J18" s="121">
        <f>Balanço!L6/Balanço!E69</f>
        <v>0.79886959322927342</v>
      </c>
      <c r="K18" s="121">
        <f>Balanço!L18/Balanço!F69</f>
        <v>0.78235717360160861</v>
      </c>
      <c r="L18" s="121">
        <f>Balanço!L30/Balanço!G69</f>
        <v>0.69398105955541467</v>
      </c>
      <c r="M18" s="264">
        <v>0.7</v>
      </c>
      <c r="N18" s="5" t="str">
        <f>IF(L18&gt;=100%,"▲ A empresa tem financiamento estável para toda a sua atividade, o que é seguro e positivo.",
IF(L18&gt;=70%,"► A empresa tem financiamento estável para a maior parte da atividade, mas deve monitorizar o financiamento de curto prazo.",
"▼ A empresa depende demasiado de empréstimos de curto prazo, aumentando o risco financeiro."))
&amp;
IF(AND(L18&gt;K18,L18&gt;J18)," Este indicador tem aumentado nos últimos anos, o que é bom sinal.",
IF(AND(L18&lt;K18,L18&lt;J18)," Este indicador tem diminuído nos últimos anos, o que é mau sinal.",
IF(AND(L18&gt;K18,L18&lt;J18)," Este indicador subiu face ao ano anterior, mas está abaixo do nível de há dois anos.",
IF(AND(L18&lt;K18,L18&gt;J18)," Este indicador diminuiu face ao último ano, mas está acima de há dois anos.",
" Este indicador manteve-se estável."))))</f>
        <v>▼ A empresa depende demasiado de empréstimos de curto prazo, aumentando o risco financeiro. Este indicador tem diminuído nos últimos anos, o que é mau sinal.</v>
      </c>
      <c r="O18" s="5" t="str">
        <f t="shared" si="0"/>
        <v>▼ A empresa apresenta pior desempenho que o setor neste indicador.</v>
      </c>
      <c r="P18" s="269"/>
    </row>
    <row r="19" spans="2:16" ht="15" thickBot="1" x14ac:dyDescent="0.35">
      <c r="B19" s="391"/>
      <c r="C19" s="393"/>
      <c r="D19" s="395"/>
      <c r="E19" s="419"/>
      <c r="F19" s="397"/>
      <c r="G19" s="400"/>
      <c r="H19" s="128">
        <v>15</v>
      </c>
      <c r="I19" s="13" t="s">
        <v>124</v>
      </c>
      <c r="J19" s="121">
        <f>Balanço!E57/Balanço!E50</f>
        <v>0.4430567561639594</v>
      </c>
      <c r="K19" s="121">
        <f>Balanço!F57/Balanço!F50</f>
        <v>0.48632334469764937</v>
      </c>
      <c r="L19" s="121">
        <f>Balanço!G57/Balanço!G50</f>
        <v>0.99159016498683961</v>
      </c>
      <c r="M19" s="264">
        <v>0.7</v>
      </c>
      <c r="N19" s="5" t="str">
        <f>IF(L19=1,"► A dívida da empresa está equilibrada entre curto prazo e médio/longo prazo.",
IF(L19&gt;1,"▼ A maior parte da dívida da empresa vence-se rapidamente (curto prazo), o que pode pressionar a tesouraria.",
"▲ A maior parte da dívida da empresa vence-se num prazo longo, o que dá conforto financeiro."))
&amp;
IF(AND(L19&gt;K19,L19&gt;J19)," Este indicador tem aumentado nos últimos anos, o que é  mau sinal.",
IF(AND(L19&lt;K19,L19&lt;J19)," Este indicador tem diminuído nos últimos anos, o que é bom sinal.",
IF(AND(L19&gt;K19,L19&lt;J19)," Este indicador subiu face ao ano anterior, mas está abaixo do nível de há dois anos.",
IF(AND(L19&lt;K19,L19&gt;J19)," Este indicador diminuiu face ao último ano, mas está acima de há dois anos.",
" Este indicador manteve-se estável."))))</f>
        <v>▲ A maior parte da dívida da empresa vence-se num prazo longo, o que dá conforto financeiro. Este indicador tem aumentado nos últimos anos, o que é  mau sinal.</v>
      </c>
      <c r="O19" s="5" t="str">
        <f>IF(M19="","",IF(L19&lt;M19,"▲ A empresa apresenta melhor desempenho que o setor neste indicador.",
IF(L19&gt;M19,"▼ A empresa apresenta pior desempenho que o setor neste indicador.",
"► A empresa apresenta um desempenho semelhante ao setor neste indicador.")))</f>
        <v>▼ A empresa apresenta pior desempenho que o setor neste indicador.</v>
      </c>
      <c r="P19" s="269"/>
    </row>
    <row r="20" spans="2:16" x14ac:dyDescent="0.3">
      <c r="H20" s="131">
        <v>16</v>
      </c>
      <c r="I20" s="13" t="s">
        <v>125</v>
      </c>
      <c r="J20" s="121">
        <f>Balanço!L6/Balanço!J6</f>
        <v>1.1409129310993817</v>
      </c>
      <c r="K20" s="121">
        <f>Balanço!L18/Balanço!J18</f>
        <v>1.2350790543898258</v>
      </c>
      <c r="L20" s="121">
        <f>Balanço!L30/Balanço!J30</f>
        <v>0.92834489155881439</v>
      </c>
      <c r="M20" s="264">
        <v>0.8</v>
      </c>
      <c r="N20" s="5" t="str">
        <f>IF(L20&gt;1,"▲ A empresa financia os seus investimentos de longo prazo com fundos próprios ou empréstimos de longo prazo, o que é positivo.",
IF(L20=1,"► O financiamento dos investimentos é justo, sem margem adicional, situação delicada.",
"▼ A empresa não financia totalmente os investimentos de longo prazo com fundos próprios ou empréstimos de longo prazo, aumentando o risco financeiro."))
&amp;
IF(AND(L20&gt;K20,L20&gt;J20)," Este indicador tem aumentado nos últimos anos, o que é bom sinal.",
IF(AND(L20&lt;K20,L20&lt;J20)," Este indicador tem diminuído nos últimos anos, o que é mau sinal.",
IF(AND(L20&gt;K20,L20&lt;J20)," Este indicador subiu face ao ano anterior, mas está abaixo do nível de há dois anos.",
IF(AND(L20&lt;K20,L20&gt;J20)," Este indicador diminuiu face ao último ano, mas está acima de há dois anos.",
" Este indicador manteve-se estável."))))</f>
        <v>▼ A empresa não financia totalmente os investimentos de longo prazo com fundos próprios ou empréstimos de longo prazo, aumentando o risco financeiro. Este indicador tem diminuído nos últimos anos, o que é mau sinal.</v>
      </c>
      <c r="O20" s="5" t="str">
        <f t="shared" si="0"/>
        <v>▲ A empresa apresenta melhor desempenho que o setor neste indicador.</v>
      </c>
      <c r="P20" s="269"/>
    </row>
    <row r="21" spans="2:16" x14ac:dyDescent="0.3">
      <c r="H21" s="131">
        <v>17</v>
      </c>
      <c r="I21" s="13" t="s">
        <v>126</v>
      </c>
      <c r="J21" s="121">
        <f>Balanço!E47/Balanço!J6</f>
        <v>0.49258463056989182</v>
      </c>
      <c r="K21" s="121">
        <f>Balanço!F47/Balanço!J18</f>
        <v>0.52858432299220104</v>
      </c>
      <c r="L21" s="121">
        <f>Balanço!G47/Balanço!J30</f>
        <v>0.51550863554043902</v>
      </c>
      <c r="M21" s="264">
        <v>0.6</v>
      </c>
      <c r="N21" s="5" t="str">
        <f>IF(L21&gt;1,"▲ A empresa financia os seus investimentos com dinheiro próprio, reduzindo o risco financeiro.",
IF(L21=1,"► A empresa financia os seus investimentos exclusivamente com dinheiro próprio, sem margem adicional.",
"▼ A empresa financia os seus investimentos sobretudo com dívida externa, aumentando o risco financeiro."))
&amp;
IF(AND(L21&gt;K21,L21&gt;J21)," Este indicador tem aumentado nos últimos anos, o que é bom sinal.",
IF(AND(L21&lt;K21,L21&lt;J21)," Este indicador tem diminuído nos últimos anos, o que é mau sinal.",
IF(AND(L21&gt;K21,L21&lt;J21)," Este indicador subiu face ao ano anterior, mas está abaixo do nível de há dois anos.",
IF(AND(L21&lt;K21,L21&gt;J21)," Este indicador diminuiu face ao último ano, mas está acima de há dois anos.",
" Este indicador manteve-se estável."))))</f>
        <v>▼ A empresa financia os seus investimentos sobretudo com dívida externa, aumentando o risco financeiro. Este indicador diminuiu face ao último ano, mas está acima de há dois anos.</v>
      </c>
      <c r="O21" s="5" t="str">
        <f t="shared" si="0"/>
        <v>▼ A empresa apresenta pior desempenho que o setor neste indicador.</v>
      </c>
      <c r="P21" s="269"/>
    </row>
    <row r="22" spans="2:16" x14ac:dyDescent="0.3">
      <c r="H22" s="131">
        <v>18</v>
      </c>
      <c r="I22" s="13" t="s">
        <v>127</v>
      </c>
      <c r="J22" s="121">
        <f>Balanço!E57/Balanço!E68</f>
        <v>0.30702656307276904</v>
      </c>
      <c r="K22" s="121">
        <f>Balanço!F57/Balanço!F68</f>
        <v>0.32719888739726294</v>
      </c>
      <c r="L22" s="121">
        <f>Balanço!G57/Balanço!G68</f>
        <v>0.49788866324984687</v>
      </c>
      <c r="M22" s="264">
        <v>0.4</v>
      </c>
      <c r="N22" s="5" t="str">
        <f>IF(L22&lt;=50%,"▲ A dívida é sobretudo de longo prazo, menos pressão financeira no imediato.",
IF(AND(L22&gt;50%,L22&lt;=70%),"► Dívida equilibrada entre curto e longo prazo, situação intermédia.",
"▼ A dívida é sobretudo de curto prazo, maior pressão financeira no imediato."))
&amp;
IF(AND(L22&gt;K22,L22&gt;J22)," Este indicador tem aumentado nos últimos anos, o que é mau sinal.",
IF(AND(L22&lt;K22,L22&lt;J22)," Este indicador tem diminuído nos últimos anos, o que é bom sinal.",
IF(AND(L22&gt;K22,L22&lt;J22)," Este indicador subiu face ao ano anterior, mas está abaixo do nível de há dois anos.",
IF(AND(L22&lt;K22,L22&gt;J22)," Este indicador diminuiu face ao último ano, mas está acima de há dois anos.",
" Este indicador manteve-se estável."))))</f>
        <v>▲ A dívida é sobretudo de longo prazo, menos pressão financeira no imediato. Este indicador tem aumentado nos últimos anos, o que é mau sinal.</v>
      </c>
      <c r="O22" s="5" t="str">
        <f>IF(M22="","",IF(L22&lt;M22,"▲ A empresa apresenta melhor desempenho que o setor neste indicador.",
IF(L22&gt;M22,"▼ A empresa apresenta pior desempenho que o setor neste indicador.",
"► A empresa apresenta um desempenho semelhante ao setor neste indicador.")))</f>
        <v>▼ A empresa apresenta pior desempenho que o setor neste indicador.</v>
      </c>
      <c r="P22" s="269"/>
    </row>
    <row r="23" spans="2:16" x14ac:dyDescent="0.3">
      <c r="H23" s="131">
        <v>19</v>
      </c>
      <c r="I23" s="13" t="s">
        <v>129</v>
      </c>
      <c r="J23" s="126">
        <f>('Demonstração de Resultados'!E25+'Demonstração de Resultados'!K24)/'Demonstração de Resultados'!K25</f>
        <v>8.2405063291139236</v>
      </c>
      <c r="K23" s="126">
        <f>('Demonstração de Resultados'!F25+'Demonstração de Resultados'!L24)/'Demonstração de Resultados'!L25</f>
        <v>1.0609484994442386</v>
      </c>
      <c r="L23" s="126">
        <f>('Demonstração de Resultados'!G25+'Demonstração de Resultados'!M24)/'Demonstração de Resultados'!M25</f>
        <v>4.6368708452041787</v>
      </c>
      <c r="M23" s="264">
        <v>15</v>
      </c>
      <c r="N23" s="5" t="str">
        <f>IF(L23&gt;=1.5,"▲ A empresa tem boa capacidade para suportar custos financeiros.",
IF(L23&gt;=1,"► A empresa consegue suportar custos financeiros com algum esforço.",
"▼ A empresa tem dificuldades em suportar custos financeiros."))
&amp;
IF(L23&gt;K23," Este indicador melhorou face ao último ano.",IF(L23&lt;K23," Este indicador piorou face ao último ano."," Este indicador manteve-se estável."))</f>
        <v>▲ A empresa tem boa capacidade para suportar custos financeiros. Este indicador melhorou face ao último ano.</v>
      </c>
      <c r="O23" s="5" t="str">
        <f t="shared" si="0"/>
        <v>▼ A empresa apresenta pior desempenho que o setor neste indicador.</v>
      </c>
      <c r="P23" s="269"/>
    </row>
    <row r="24" spans="2:16" x14ac:dyDescent="0.3">
      <c r="H24" s="131">
        <v>20</v>
      </c>
      <c r="I24" s="13" t="s">
        <v>130</v>
      </c>
      <c r="J24" s="121">
        <f>'Demonstração de Resultados'!K23/'Demonstração de Resultados'!K6</f>
        <v>1.3330311158122726E-2</v>
      </c>
      <c r="K24" s="121">
        <f>'Demonstração de Resultados'!L23/'Demonstração de Resultados'!L6</f>
        <v>1.2841587903500153E-2</v>
      </c>
      <c r="L24" s="121">
        <f>'Demonstração de Resultados'!M23/'Demonstração de Resultados'!M6</f>
        <v>2.014284587040575E-2</v>
      </c>
      <c r="M24" s="264">
        <v>0.02</v>
      </c>
      <c r="N24" s="5" t="str">
        <f>IF(L24&lt;=1%,"▲ Gastos financeiros baixos face às vendas, situação positiva.",
IF(L24&lt;=3%,"► Gastos financeiros moderados face às vendas.",
"▼ Gastos financeiros elevados face às vendas, situação negativa."))
&amp;
IF(L24&gt;K24," Este indicador piorou face ao último ano.",IF(L24&lt;K24," Este indicador melhorou face ao último ano."," Este indicador manteve-se estável."))</f>
        <v>► Gastos financeiros moderados face às vendas. Este indicador piorou face ao último ano.</v>
      </c>
      <c r="O24" s="5" t="str">
        <f>IF(M24="","",IF(L24&lt;M24,"▲ A empresa apresenta melhor desempenho que o setor neste indicador.",
IF(L24&gt;M24,"▼ A empresa apresenta pior desempenho que o setor neste indicador.",
"► A empresa apresenta um desempenho semelhante ao setor neste indicador.")))</f>
        <v>▼ A empresa apresenta pior desempenho que o setor neste indicador.</v>
      </c>
      <c r="P24" s="269"/>
    </row>
    <row r="25" spans="2:16" x14ac:dyDescent="0.3">
      <c r="H25" s="131"/>
      <c r="I25" s="129" t="s">
        <v>138</v>
      </c>
      <c r="J25" s="125"/>
      <c r="K25" s="125"/>
      <c r="L25" s="125"/>
      <c r="M25" s="265"/>
      <c r="N25" s="102"/>
      <c r="O25" s="102" t="str">
        <f t="shared" si="0"/>
        <v/>
      </c>
      <c r="P25" s="270"/>
    </row>
    <row r="26" spans="2:16" x14ac:dyDescent="0.3">
      <c r="H26" s="131">
        <v>21</v>
      </c>
      <c r="I26" s="13" t="s">
        <v>131</v>
      </c>
      <c r="J26" s="122">
        <f>'Demonstração de Resultados'!E10/(Balanço!E18)</f>
        <v>12.096934498862412</v>
      </c>
      <c r="K26" s="122">
        <f>'Demonstração de Resultados'!F10/(Balanço!F18)</f>
        <v>11.335708745394609</v>
      </c>
      <c r="L26" s="122">
        <f>'Demonstração de Resultados'!G10/(Balanço!G18)</f>
        <v>18.203405430280718</v>
      </c>
      <c r="M26" s="266">
        <v>20</v>
      </c>
      <c r="N26" s="5" t="str">
        <f>IF(AND(L26&gt;K26,L26&gt;J26),"▲ A rotação de inventários aumentou, mostrando maior eficiência na gestão dos stocks.",
IF(AND(L26&lt;K26,L26&lt;J26),"▼ A rotação de inventários diminuiu, indicando menor eficiência na gestão dos stocks.",
IF(AND(L26&gt;K26,L26&lt;J26),"► A rotação de inventários melhorou face ao último ano, mas piorou em relação há dois anos.",
IF(AND(L26&lt;K26,L26&gt;J26),"► A rotação de inventários piorou face ao último ano, mas ainda melhor que há dois anos.",
"► A rotação de inventários manteve-se estável."))))</f>
        <v>▲ A rotação de inventários aumentou, mostrando maior eficiência na gestão dos stocks.</v>
      </c>
      <c r="O26" s="5" t="str">
        <f t="shared" si="0"/>
        <v>▼ A empresa apresenta pior desempenho que o setor neste indicador.</v>
      </c>
      <c r="P26" s="269"/>
    </row>
    <row r="27" spans="2:16" x14ac:dyDescent="0.3">
      <c r="H27" s="131">
        <v>22</v>
      </c>
      <c r="I27" s="13" t="s">
        <v>132</v>
      </c>
      <c r="J27" s="122">
        <f>(Balanço!E18/'Demonstração de Resultados'!E10)*365</f>
        <v>30.17293348445628</v>
      </c>
      <c r="K27" s="122">
        <f>(Balanço!F18/'Demonstração de Resultados'!F10)*365</f>
        <v>32.199133569684349</v>
      </c>
      <c r="L27" s="122">
        <f>(Balanço!G18/'Demonstração de Resultados'!G10)*365</f>
        <v>20.051193245019718</v>
      </c>
      <c r="M27" s="266">
        <v>15</v>
      </c>
      <c r="N27" s="5" t="str">
        <f>IF(AND(L27&lt;K27,L27&lt;J27),"▲ Os produtos estão menos tempo em stock, o que melhora a gestão e reduz custos.",
IF(AND(L27&gt;K27,L27&gt;J27),"▼ Os produtos estão mais tempo em stock, aumentando custos e pressão financeira.",
IF(AND(L27&lt;K27,L27&gt;J27),"► O tempo em stock reduziu face ao último ano, mas aumentou face a dois anos atrás.",
IF(AND(L27&gt;K27,L27&lt;J27),"► O tempo em stock aumentou face ao último ano, mas ainda é menor do que há dois anos.",
"► A duração média dos stocks manteve-se estável."))))</f>
        <v>▲ Os produtos estão menos tempo em stock, o que melhora a gestão e reduz custos.</v>
      </c>
      <c r="O27" s="5" t="str">
        <f>IF(M27="","",IF(L27&lt;M27,"▲ A empresa apresenta melhor desempenho que o setor neste indicador.",
IF(L27&gt;M27,"▼ A empresa apresenta pior desempenho que o setor neste indicador.",
"► A empresa apresenta um desempenho semelhante ao setor neste indicador.")))</f>
        <v>▼ A empresa apresenta pior desempenho que o setor neste indicador.</v>
      </c>
      <c r="P27" s="269"/>
    </row>
    <row r="28" spans="2:16" x14ac:dyDescent="0.3">
      <c r="H28" s="131">
        <v>23</v>
      </c>
      <c r="I28" s="13" t="s">
        <v>133</v>
      </c>
      <c r="J28" s="122">
        <f>(Balanço!E20/('Demonstração de Resultados'!E5*(1+0.23)))*365</f>
        <v>23.508755657236598</v>
      </c>
      <c r="K28" s="122">
        <f>(Balanço!F20/('Demonstração de Resultados'!F5*(1+0.23)))*365</f>
        <v>17.543549682855598</v>
      </c>
      <c r="L28" s="122">
        <f>(Balanço!G20/('Demonstração de Resultados'!G5*(1+0.23)))*365</f>
        <v>25.07378519278279</v>
      </c>
      <c r="M28" s="266">
        <v>20</v>
      </c>
      <c r="N28" s="5" t="str">
        <f>IF(AND(L28&lt;K28,L28&lt;J28),"▲ A empresa recebe mais rapidamente dos clientes, reduzindo riscos financeiros e melhorando a liquidez.",
IF(AND(L28&gt;K28,L28&gt;J28),"▼ A empresa está a demorar mais tempo para receber, aumentando risco de problemas de tesouraria.",
IF(AND(L28&lt;K28,L28&gt;J28),"► O prazo de recebimento diminuiu face ao último ano, mas ainda é maior que há dois anos.",
IF(AND(L28&gt;K28,L28&lt;J28),"► O prazo de recebimento aumentou face ao último ano, mas ainda é menor do que há dois anos.",
"► O prazo médio de recebimento manteve-se estável."))))</f>
        <v>▼ A empresa está a demorar mais tempo para receber, aumentando risco de problemas de tesouraria.</v>
      </c>
      <c r="O28" s="5" t="str">
        <f>IF(M28="","",IF(L28&lt;M28,"▲ A empresa apresenta melhor desempenho que o setor neste indicador.",
IF(L28&gt;M28,"▼ A empresa apresenta pior desempenho que o setor neste indicador.",
"► A empresa apresenta um desempenho semelhante ao setor neste indicador.")))</f>
        <v>▼ A empresa apresenta pior desempenho que o setor neste indicador.</v>
      </c>
      <c r="P28" s="269"/>
    </row>
    <row r="29" spans="2:16" x14ac:dyDescent="0.3">
      <c r="H29" s="131">
        <v>24</v>
      </c>
      <c r="I29" s="13" t="s">
        <v>134</v>
      </c>
      <c r="J29" s="122">
        <f>(Balanço!E58/('Demonstração de Resultados'!E10*(1+0.23)))*356</f>
        <v>46.7360063294906</v>
      </c>
      <c r="K29" s="122">
        <f>(Balanço!F58/('Demonstração de Resultados'!F10*(1+0.23)))*356</f>
        <v>41.545667067863285</v>
      </c>
      <c r="L29" s="122">
        <f>(Balanço!G58/('Demonstração de Resultados'!G10*(1+0.23)))*356</f>
        <v>63.9407449792973</v>
      </c>
      <c r="M29" s="266">
        <v>25</v>
      </c>
      <c r="N29" s="5" t="str">
        <f>IF(AND(L29&gt;K29,L29&gt;J29),"▲ A empresa está a conseguir prazos mais alargados para pagar fornecedores, beneficiando a tesouraria.",
IF(AND(L29&lt;K29,L29&lt;J29),"▼ A empresa está a pagar mais rapidamente aos fornecedores, podendo pressionar a tesouraria.",
IF(AND(L29&gt;K29,L29&lt;J29),"► O prazo de pagamento aumentou face ao último ano, mas ainda é inferior ao nível de há dois anos.",
IF(AND(L29&lt;K29,L29&gt;J29),"► O prazo de pagamento diminuiu face ao último ano, mas ainda está acima do nível de há dois anos.",
"► O prazo médio de pagamento manteve-se estável."))))</f>
        <v>▲ A empresa está a conseguir prazos mais alargados para pagar fornecedores, beneficiando a tesouraria.</v>
      </c>
      <c r="O29" s="5" t="str">
        <f>IF(M29="","",IF(L29&lt;M29,"▲ A empresa apresenta melhor desempenho que o setor neste indicador.",
IF(L29&gt;M29,"▼ A empresa apresenta pior desempenho que o setor neste indicador.",
"► A empresa apresenta um desempenho semelhante ao setor neste indicador.")))</f>
        <v>▼ A empresa apresenta pior desempenho que o setor neste indicador.</v>
      </c>
      <c r="P29" s="269"/>
    </row>
    <row r="30" spans="2:16" x14ac:dyDescent="0.3">
      <c r="H30" s="131">
        <v>25</v>
      </c>
      <c r="I30" s="13" t="s">
        <v>135</v>
      </c>
      <c r="J30" s="122">
        <f>J27+J28</f>
        <v>53.681689141692878</v>
      </c>
      <c r="K30" s="122">
        <f t="shared" ref="K30:L30" si="2">K27+K28</f>
        <v>49.742683252539948</v>
      </c>
      <c r="L30" s="122">
        <f t="shared" si="2"/>
        <v>45.124978437802511</v>
      </c>
      <c r="M30" s="266">
        <v>40</v>
      </c>
      <c r="N30" s="5" t="str">
        <f>IF(AND(L30&lt;K30,L30&lt;J30),"▲ O ciclo operacional encurtou, reduzindo as necessidades financeiras da operação da empresa.",
IF(AND(L30&gt;K30,L30&gt;J30),"▼ O ciclo operacional aumentou, aumentando a pressão sobre as necessidades financeiras da empresa.",
IF(AND(L30&lt;K30,L30&gt;J30),"► O ciclo operacional reduziu face ao último ano, mas ainda é mais longo que há dois anos.",
IF(AND(L30&gt;K30,L30&lt;J30),"► O ciclo operacional aumentou face ao último ano, mas ainda é inferior a dois anos atrás.",
"► O ciclo operacional manteve-se estável."))))</f>
        <v>▲ O ciclo operacional encurtou, reduzindo as necessidades financeiras da operação da empresa.</v>
      </c>
      <c r="O30" s="5" t="str">
        <f t="shared" si="0"/>
        <v>▲ A empresa apresenta melhor desempenho que o setor neste indicador.</v>
      </c>
      <c r="P30" s="269"/>
    </row>
    <row r="31" spans="2:16" x14ac:dyDescent="0.3">
      <c r="H31" s="131">
        <v>26</v>
      </c>
      <c r="I31" s="13" t="s">
        <v>136</v>
      </c>
      <c r="J31" s="122">
        <f>J30-J29</f>
        <v>6.9456828122022785</v>
      </c>
      <c r="K31" s="122">
        <f t="shared" ref="K31:L31" si="3">K30-K29</f>
        <v>8.1970161846766629</v>
      </c>
      <c r="L31" s="122">
        <f t="shared" si="3"/>
        <v>-18.815766541494789</v>
      </c>
      <c r="M31" s="266">
        <v>1.5</v>
      </c>
      <c r="N31" s="5" t="str">
        <f>IF(AND(L31&lt;K31,L31&lt;J31),"▲ A empresa precisa financiar a sua operação por menos tempo, melhorando a liquidez.",
IF(AND(L31&gt;K31,L31&gt;J31),"▼ A empresa precisa financiar a sua operação por mais tempo, aumentando a pressão sobre a liquidez.",
IF(AND(L31&lt;K31,L31&gt;J31),"► O ciclo financeiro reduziu face ao último ano, mas ainda está mais longo do que há dois anos.",
IF(AND(L31&gt;K31,L31&lt;J31),"► O ciclo financeiro aumentou face ao último ano, mas ainda está mais curto do que há dois anos.",
"► O ciclo financeiro manteve-se estável."))))</f>
        <v>▲ A empresa precisa financiar a sua operação por menos tempo, melhorando a liquidez.</v>
      </c>
      <c r="O31" s="5" t="str">
        <f>IF(M31="","",IF(L31&lt;M31,"▲ A empresa apresenta melhor desempenho que o setor neste indicador.",
IF(L31&gt;M31,"▼ A empresa apresenta pior desempenho que o setor neste indicador.",
"► A empresa apresenta um desempenho semelhante ao setor neste indicador.")))</f>
        <v>▲ A empresa apresenta melhor desempenho que o setor neste indicador.</v>
      </c>
      <c r="P31" s="269"/>
    </row>
    <row r="32" spans="2:16" x14ac:dyDescent="0.3">
      <c r="H32" s="131"/>
      <c r="I32" s="129" t="s">
        <v>137</v>
      </c>
      <c r="J32" s="125"/>
      <c r="K32" s="125"/>
      <c r="L32" s="125"/>
      <c r="M32" s="265"/>
      <c r="N32" s="102"/>
      <c r="O32" s="102" t="str">
        <f t="shared" si="0"/>
        <v/>
      </c>
      <c r="P32" s="270"/>
    </row>
    <row r="33" spans="8:16" x14ac:dyDescent="0.3">
      <c r="H33" s="131">
        <v>27</v>
      </c>
      <c r="I33" s="13" t="s">
        <v>139</v>
      </c>
      <c r="J33" s="122">
        <f>'Demonstração de Resultados'!E5/Balanço!E30</f>
        <v>1.1628107886490759</v>
      </c>
      <c r="K33" s="122">
        <f>'Demonstração de Resultados'!F5/Balanço!F30</f>
        <v>1.3502193870012398</v>
      </c>
      <c r="L33" s="122">
        <f>'Demonstração de Resultados'!G5/Balanço!G30</f>
        <v>1.380951909233797</v>
      </c>
      <c r="M33" s="266">
        <v>1.5</v>
      </c>
      <c r="N33" s="5" t="str">
        <f>IF(AND(L33&gt;K33,L33&gt;J33),"▲ A empresa está mais eficiente em gerar vendas com o investimento total face aos anos anteriores.",
IF(AND(L33&lt;K33,L33&lt;J33),"▼ A empresa está menos eficiente em gerar vendas com o investimento total face aos anos anteriores.",
IF(AND(L33&gt;K33,L33&lt;J33),"► A eficiência em gerar vendas melhorou face ao último ano, mas piorou relativamente a dois anos atrás.",
IF(AND(L33&lt;K33,L33&gt;J33),"► A eficiência em gerar vendas piorou face ao último ano, mas melhorou relativamente a dois anos atrás.",
"► A eficiência em gerar vendas manteve-se estável."))))</f>
        <v>▲ A empresa está mais eficiente em gerar vendas com o investimento total face aos anos anteriores.</v>
      </c>
      <c r="O33" s="5" t="str">
        <f t="shared" si="0"/>
        <v>▼ A empresa apresenta pior desempenho que o setor neste indicador.</v>
      </c>
      <c r="P33" s="269"/>
    </row>
    <row r="34" spans="8:16" x14ac:dyDescent="0.3">
      <c r="H34" s="131">
        <v>28</v>
      </c>
      <c r="I34" s="13" t="s">
        <v>140</v>
      </c>
      <c r="J34" s="122">
        <f>'Demonstração de Resultados'!E5/(Balanço!E7+Balanço!E10)</f>
        <v>2.4219846043112807</v>
      </c>
      <c r="K34" s="122">
        <f>'Demonstração de Resultados'!F5/(Balanço!F7+Balanço!F10)</f>
        <v>2.6644080473612819</v>
      </c>
      <c r="L34" s="122">
        <f>'Demonstração de Resultados'!G5/(Balanço!G7+Balanço!G10)</f>
        <v>2.1345783802820497</v>
      </c>
      <c r="M34" s="266">
        <v>2.5</v>
      </c>
      <c r="N34" s="5" t="str">
        <f>IF(AND(L34&gt;K34,L34&gt;J34),"▲ A empresa está a gerar mais vendas com os seus ativo fixos (máquinas, instalações, equipamentos), indicando melhor desempenho operacional.",
IF(AND(L34&lt;K34,L34&lt;J34),"▼ A empresa está a gerar menos vendas com os seus ativo fixos (máquinas, instalações, equipamentos), indicando pior desempenho operacional.",
IF(AND(L34&gt;K34,L34&lt;J34),"► A geração de vendas com ativo fixos (máquinas, instalações, equipamentos) aumentou face ao último ano, mas diminuiu face a dois anos atrás.",
IF(AND(L34&lt;K34,L34&gt;J34),"► A geração de vendas com ativo fixos (máquinas, instalações, equipamentos) diminuiu face ao último ano, mas ainda é superior a dois anos atrás.",
"► A geração de vendas com investimentos produtivos manteve-se estável."))))</f>
        <v>▼ A empresa está a gerar menos vendas com os seus ativo fixos (máquinas, instalações, equipamentos), indicando pior desempenho operacional.</v>
      </c>
      <c r="O34" s="5" t="str">
        <f t="shared" si="0"/>
        <v>▼ A empresa apresenta pior desempenho que o setor neste indicador.</v>
      </c>
      <c r="P34" s="269"/>
    </row>
    <row r="35" spans="8:16" x14ac:dyDescent="0.3">
      <c r="H35" s="131">
        <v>29</v>
      </c>
      <c r="I35" s="13" t="s">
        <v>141</v>
      </c>
      <c r="J35" s="122">
        <f>'Demonstração de Resultados'!E5/Balanço!E17</f>
        <v>3.8786484585628882</v>
      </c>
      <c r="K35" s="122">
        <f>'Demonstração de Resultados'!F5/Balanço!F17</f>
        <v>3.6835588348697814</v>
      </c>
      <c r="L35" s="122">
        <f>'Demonstração de Resultados'!G5/Balanço!G17</f>
        <v>5.4701258272948436</v>
      </c>
      <c r="M35" s="266">
        <v>10</v>
      </c>
      <c r="N35" s="5" t="str">
        <f>IF(AND(L35&gt;K35,L35&gt;J35),"▲ A empresa melhorou a utilização dos seus ativos correntes para gerar vendas.",
IF(AND(L35&lt;K35,L35&lt;J35),"▼ A empresa está a gerar menos vendas com os seus ativos correntes.",
IF(AND(L35&gt;K35,L35&lt;J35),"► O uso dos ativos correntes melhorou face ao último ano, mas está abaixo do desempenho de dois anos atrás.",
IF(AND(L35&lt;K35,L35&gt;J35),"► O uso dos ativos correntes piorou face ao último ano, mas ainda é melhor que há dois anos.",
"► A eficiência dos ativos de curto prazo manteve-se estável."))))</f>
        <v>▲ A empresa melhorou a utilização dos seus ativos correntes para gerar vendas.</v>
      </c>
      <c r="O35" s="5" t="str">
        <f t="shared" si="0"/>
        <v>▼ A empresa apresenta pior desempenho que o setor neste indicador.</v>
      </c>
      <c r="P35" s="269"/>
    </row>
    <row r="36" spans="8:16" x14ac:dyDescent="0.3">
      <c r="H36" s="131">
        <v>30</v>
      </c>
      <c r="I36" s="13" t="s">
        <v>142</v>
      </c>
      <c r="J36" s="122">
        <f>'Demonstração de Resultados'!E5/Balanço!E47</f>
        <v>3.3713574921885612</v>
      </c>
      <c r="K36" s="122">
        <f>'Demonstração de Resultados'!F5/Balanço!F47</f>
        <v>4.0325498848810435</v>
      </c>
      <c r="L36" s="122">
        <f>'Demonstração de Resultados'!G5/Balanço!G47</f>
        <v>3.5834747142391992</v>
      </c>
      <c r="M36" s="266">
        <v>5</v>
      </c>
      <c r="N36" s="5" t="str">
        <f>IF(AND(L36&gt;K36,L36&gt;J36),"▲ A empresa melhorou a geração de vendas com o dinheiro investido pelos sócios.",
IF(AND(L36&lt;K36,L36&lt;J36),"▼ A empresa piorou a geração de vendas com o dinheiro investido pelos sócios.",
IF(AND(L36&gt;K36,L36&lt;J36),"► A eficiência melhorou face ao último ano, mas piorou relativamente a dois anos atrás.",
IF(AND(L36&lt;K36,L36&gt;J36),"► A eficiência diminuiu face ao último ano, mas está acima de dois anos atrás.",
"► A eficiência do capital próprio manteve-se estável."))))</f>
        <v>► A eficiência diminuiu face ao último ano, mas está acima de dois anos atrás.</v>
      </c>
      <c r="O36" s="5" t="str">
        <f t="shared" si="0"/>
        <v>▼ A empresa apresenta pior desempenho que o setor neste indicador.</v>
      </c>
      <c r="P36" s="269"/>
    </row>
    <row r="37" spans="8:16" x14ac:dyDescent="0.3">
      <c r="H37" s="131">
        <v>31</v>
      </c>
      <c r="I37" s="13" t="s">
        <v>149</v>
      </c>
      <c r="J37" s="122">
        <f>Balanço!E17/Balanço!E57</f>
        <v>1.4905649388468258</v>
      </c>
      <c r="K37" s="122">
        <f>Balanço!F17/Balanço!F57</f>
        <v>1.684194990923447</v>
      </c>
      <c r="L37" s="122">
        <f>Balanço!G17/Balanço!G57</f>
        <v>0.82496007596357201</v>
      </c>
      <c r="M37" s="266">
        <v>1</v>
      </c>
      <c r="N37" s="5" t="str">
        <f>IF(L37&gt;1,"▲ A empresa tem boa capacidade para pagar as suas dívidas de curto prazo.",
IF(L37=1,"► A capacidade da empresa para pagar as dívidas de curto prazo é justa, sem margem adicional.",
"▼ A empresa pode ter dificuldades em cumprir os compromissos de curto prazo."))
&amp;
IF(AND(L37&gt;K37,L37&gt;J37)," Indicador aumentou face aos anos anteriores, melhorando a situação financeira.",
IF(AND(L37&lt;K37,L37&lt;J37)," Indicador diminuiu face aos anos anteriores, piorando a situação financeira.",
IF(AND(L37&gt;K37,L37&lt;J37)," Indicador subiu face ao último ano, mas está abaixo de há dois anos.",
IF(AND(L37&lt;K37,L37&gt;J37)," Indicador diminuiu face ao último ano, mas ainda está melhor do que há dois anos.",
" Indicador manteve-se estável."))))</f>
        <v>▼ A empresa pode ter dificuldades em cumprir os compromissos de curto prazo. Indicador diminuiu face aos anos anteriores, piorando a situação financeira.</v>
      </c>
      <c r="O37" s="5" t="str">
        <f t="shared" si="0"/>
        <v>▼ A empresa apresenta pior desempenho que o setor neste indicador.</v>
      </c>
      <c r="P37" s="269"/>
    </row>
    <row r="38" spans="8:16" x14ac:dyDescent="0.3">
      <c r="H38" s="131">
        <v>32</v>
      </c>
      <c r="I38" s="13" t="s">
        <v>150</v>
      </c>
      <c r="J38" s="122">
        <f>(Balanço!E17-Balanço!E18-Balanço!E19)/Balanço!E57</f>
        <v>1.2473791496796738</v>
      </c>
      <c r="K38" s="122">
        <f>(Balanço!F17-Balanço!F18-Balanço!F19)/Balanço!F57</f>
        <v>1.3797541213453961</v>
      </c>
      <c r="L38" s="122">
        <f>(Balanço!G17-Balanço!G18-Balanço!G19)/Balanço!G57</f>
        <v>0.68427640381544308</v>
      </c>
      <c r="M38" s="266">
        <v>0.5</v>
      </c>
      <c r="N38" s="5" t="str">
        <f>IF(AND(L38&gt;=0.9,L38&lt;=1.1),"▲ A empresa tem uma capacidade realista e confortável para pagar as dívidas de curto prazo sem vender stocks.",
IF(L38&gt;1.1,"► A empresa tem liquidez elevada, possivelmente excessiva.",
"▼ A empresa pode ter dificuldades reais em pagar dívidas de curto prazo sem vender stocks."))
&amp;
IF(AND(L38&gt;K38,L38&gt;J38)," Indicador aumentou face aos anos anteriores.",
IF(AND(L38&lt;K38,L38&lt;J38)," Indicador diminuiu face aos anos anteriores.",
IF(AND(L38&gt;K38,L38&lt;J38)," Indicador subiu face ao último ano, mas está abaixo de há dois anos.",
IF(AND(L38&lt;K38,L38&gt;J38)," Indicador diminuiu face ao último ano, mas está acima do nível de há dois anos.",
" Indicador manteve-se estável."))))</f>
        <v>▼ A empresa pode ter dificuldades reais em pagar dívidas de curto prazo sem vender stocks. Indicador diminuiu face aos anos anteriores.</v>
      </c>
      <c r="O38" s="5" t="str">
        <f t="shared" si="0"/>
        <v>▲ A empresa apresenta melhor desempenho que o setor neste indicador.</v>
      </c>
      <c r="P38" s="269"/>
    </row>
    <row r="39" spans="8:16" x14ac:dyDescent="0.3">
      <c r="H39" s="131">
        <v>33</v>
      </c>
      <c r="I39" s="13" t="s">
        <v>151</v>
      </c>
      <c r="J39" s="122">
        <f>Balanço!E28/Balanço!E57</f>
        <v>0.58092603377984853</v>
      </c>
      <c r="K39" s="122">
        <f>Balanço!F28/Balanço!F57</f>
        <v>0.87459598270289418</v>
      </c>
      <c r="L39" s="122">
        <f>Balanço!G28/Balanço!G57</f>
        <v>0.2190858474686003</v>
      </c>
      <c r="M39" s="266">
        <v>0.5</v>
      </c>
      <c r="N39" s="5" t="str">
        <f>IF(L39&gt;=1,"▲ A empresa tem capacidade imediata suficiente para pagar todas as suas dívidas de curto prazo.",
IF(AND(L39&gt;=0.5,L39&lt;1),"► A empresa tem alguma capacidade imediata para pagar dívidas de curto prazo, mas com margem limitada.",
"▼ A empresa tem pouca capacidade imediata para pagar dívidas de curto prazo, risco elevado de problemas financeiros."))
&amp;
IF(AND(L39,L39&gt;J39)," Indicador aumentou face aos anos anteriores.",
IF(AND(L39&lt;K39,L39&lt;J39)," Indicador diminuiu face aos anos anteriores.",
IF(AND(L39&gt;K39,L39&lt;J39)," Indicador subiu face ao último ano, mas está abaixo de há dois anos.",
IF(AND(L39&lt;K39,L39&gt;J39)," Indicador diminuiu face ao último ano, mas está acima do nível de há dois anos.",
" Indicador manteve-se estável."))))</f>
        <v>▼ A empresa tem pouca capacidade imediata para pagar dívidas de curto prazo, risco elevado de problemas financeiros. Indicador diminuiu face aos anos anteriores.</v>
      </c>
      <c r="O39" s="5" t="str">
        <f t="shared" si="0"/>
        <v>▼ A empresa apresenta pior desempenho que o setor neste indicador.</v>
      </c>
      <c r="P39" s="269"/>
    </row>
    <row r="40" spans="8:16" x14ac:dyDescent="0.3">
      <c r="H40" s="131"/>
      <c r="I40" s="129" t="s">
        <v>152</v>
      </c>
      <c r="J40" s="125"/>
      <c r="K40" s="125"/>
      <c r="L40" s="125"/>
      <c r="M40" s="265"/>
      <c r="N40" s="102"/>
      <c r="O40" s="102" t="str">
        <f t="shared" si="0"/>
        <v/>
      </c>
      <c r="P40" s="270"/>
    </row>
    <row r="41" spans="8:16" x14ac:dyDescent="0.3">
      <c r="H41" s="131">
        <v>34</v>
      </c>
      <c r="I41" s="13" t="s">
        <v>154</v>
      </c>
      <c r="J41" s="121">
        <f>'Demonstração de Resultados'!E25/Balanço!E30</f>
        <v>0.12773303657715174</v>
      </c>
      <c r="K41" s="121">
        <f>'Demonstração de Resultados'!F25/Balanço!F30</f>
        <v>1.8395744598839785E-2</v>
      </c>
      <c r="L41" s="121">
        <f>'Demonstração de Resultados'!G25/Balanço!G30</f>
        <v>0.12898059727120234</v>
      </c>
      <c r="M41" s="264">
        <v>0.5</v>
      </c>
      <c r="N41" s="5" t="str">
        <f>IF(AND(L41&gt;K41,L41&gt;J41),"▲ A empresa melhorou a capacidade de gerar resultados operacionais com o total dos ativos investidos.",
IF(AND(L41&lt;K41,L41&lt;J41),"▼ A empresa piorou a capacidade de gerar resultados operacionais com o total dos ativos investidos.",
"► A capacidade operacional dos ativos manteve-se estável."))</f>
        <v>▲ A empresa melhorou a capacidade de gerar resultados operacionais com o total dos ativos investidos.</v>
      </c>
      <c r="O41" s="5" t="str">
        <f t="shared" si="0"/>
        <v>▼ A empresa apresenta pior desempenho que o setor neste indicador.</v>
      </c>
      <c r="P41" s="269"/>
    </row>
    <row r="42" spans="8:16" x14ac:dyDescent="0.3">
      <c r="H42" s="131">
        <v>35</v>
      </c>
      <c r="I42" s="13" t="s">
        <v>155</v>
      </c>
      <c r="J42" s="121">
        <f>'Demonstração de Resultados'!E31/Balanço!E47</f>
        <v>0.25320099171308247</v>
      </c>
      <c r="K42" s="121">
        <f>'Demonstração de Resultados'!F31/Balanço!F47</f>
        <v>-8.8353798925556414E-3</v>
      </c>
      <c r="L42" s="121">
        <f>'Demonstração de Resultados'!G31/Balanço!G47</f>
        <v>0.21107740818809659</v>
      </c>
      <c r="M42" s="264">
        <v>0.5</v>
      </c>
      <c r="N42" s="5" t="str">
        <f>IF(AND(L42&gt;K42,L42&gt;J42),"▲ A empresa aumentou a rentabilidade para os sócios face aos anos anteriores.",
IF(AND(L42&lt;K42,L42&lt;J42),"▼ A empresa diminuiu a rentabilidade para os sócios face aos anos anteriores.",
"► A rentabilidade para os sócios manteve-se estável."))</f>
        <v>► A rentabilidade para os sócios manteve-se estável.</v>
      </c>
      <c r="O42" s="5" t="str">
        <f t="shared" si="0"/>
        <v>▼ A empresa apresenta pior desempenho que o setor neste indicador.</v>
      </c>
      <c r="P42" s="269"/>
    </row>
    <row r="43" spans="8:16" x14ac:dyDescent="0.3">
      <c r="H43" s="131">
        <v>36</v>
      </c>
      <c r="I43" s="13" t="s">
        <v>160</v>
      </c>
      <c r="J43" s="121">
        <f>'Demonstração de Resultados'!E25/'Demonstração de Resultados'!E5</f>
        <v>0.10984851346756828</v>
      </c>
      <c r="K43" s="121">
        <f>'Demonstração de Resultados'!F25/'Demonstração de Resultados'!F5</f>
        <v>1.3624263416699773E-2</v>
      </c>
      <c r="L43" s="121">
        <f>'Demonstração de Resultados'!G25/'Demonstração de Resultados'!G5</f>
        <v>9.3399774755925813E-2</v>
      </c>
      <c r="M43" s="264">
        <v>0.4</v>
      </c>
      <c r="N43" s="5" t="str">
        <f>IF(AND(L43&gt;K43,L43&gt;J43),"▲ A empresa aumentou o lucro operacional obtido por cada euro vendido, o que indica maior eficiência operacional.",
IF(AND(L43&lt;K43,L43&lt;J43),"▼ A empresa diminuiu o lucro operacional por cada euro vendido, indicando menor eficiência operacional.",
"► O lucro operacional por euro vendido manteve-se estável."))</f>
        <v>► O lucro operacional por euro vendido manteve-se estável.</v>
      </c>
      <c r="O43" s="5" t="str">
        <f t="shared" si="0"/>
        <v>▼ A empresa apresenta pior desempenho que o setor neste indicador.</v>
      </c>
      <c r="P43" s="269"/>
    </row>
    <row r="44" spans="8:16" x14ac:dyDescent="0.3">
      <c r="H44" s="131">
        <v>37</v>
      </c>
      <c r="I44" s="13" t="s">
        <v>157</v>
      </c>
      <c r="J44" s="121">
        <f>'Demonstração de Resultados'!E31/'Demonstração de Resultados'!E5</f>
        <v>7.5103572462946869E-2</v>
      </c>
      <c r="K44" s="121">
        <f>'Demonstração de Resultados'!F31/'Demonstração de Resultados'!F5</f>
        <v>-2.191015646373405E-3</v>
      </c>
      <c r="L44" s="121">
        <f>'Demonstração de Resultados'!G31/'Demonstração de Resultados'!G5</f>
        <v>5.8902999189408271E-2</v>
      </c>
      <c r="M44" s="264">
        <v>0.2</v>
      </c>
      <c r="N44" s="5" t="str">
        <f>IF(AND(L44&gt;K44,L44&gt;J44),"▲ A empresa aumentou o lucro final por cada euro vendido, melhorando os resultados financeiros líquidos.",
IF(AND(L44&lt;K44,L44&lt;J44),"▼ A empresa diminuiu o lucro final por cada euro vendido, piorando os resultados financeiros líquidos.",
"► O lucro final por euro vendido manteve-se estável."))</f>
        <v>► O lucro final por euro vendido manteve-se estável.</v>
      </c>
      <c r="O44" s="5" t="str">
        <f t="shared" si="0"/>
        <v>▼ A empresa apresenta pior desempenho que o setor neste indicador.</v>
      </c>
      <c r="P44" s="269"/>
    </row>
    <row r="45" spans="8:16" x14ac:dyDescent="0.3">
      <c r="H45" s="131">
        <v>38</v>
      </c>
      <c r="I45" s="13" t="s">
        <v>161</v>
      </c>
      <c r="J45" s="121">
        <f>('Demonstração de Resultados'!E31+'Demonstração de Resultados'!K25*('Demonstração de Resultados'!E31/'Demonstração de Resultados'!E29))/Balanço!E30</f>
        <v>9.9392727371027084E-2</v>
      </c>
      <c r="K45" s="121">
        <f>('Demonstração de Resultados'!F31+'Demonstração de Resultados'!L25*('Demonstração de Resultados'!F31/'Demonstração de Resultados'!F29))/Balanço!F30</f>
        <v>-5.1496902053287059E-2</v>
      </c>
      <c r="L45" s="121">
        <f>('Demonstração de Resultados'!G31+'Demonstração de Resultados'!M25*('Demonstração de Resultados'!G31/'Demonstração de Resultados'!G29))/Balanço!G30</f>
        <v>0.10370819705515547</v>
      </c>
      <c r="M45" s="264">
        <v>0.2</v>
      </c>
      <c r="N45" s="5" t="str">
        <f>IF(AND(L45&gt;K45,L45&gt;J45),"▲ A empresa aumentou a sua capacidade de gerar lucro líquido com todos os ativos investidos.",
IF(AND(L45&lt;K45,L45&lt;J45),"▼ A empresa diminuiu a sua capacidade de gerar lucro líquido com todos os ativos investidos.",
"► A capacidade de gerar lucro líquido com os ativos manteve-se estável."))</f>
        <v>▲ A empresa aumentou a sua capacidade de gerar lucro líquido com todos os ativos investidos.</v>
      </c>
      <c r="O45" s="5" t="str">
        <f t="shared" si="0"/>
        <v>▼ A empresa apresenta pior desempenho que o setor neste indicador.</v>
      </c>
      <c r="P45" s="269"/>
    </row>
    <row r="46" spans="8:16" x14ac:dyDescent="0.3">
      <c r="H46" s="131">
        <v>39</v>
      </c>
      <c r="I46" s="13" t="s">
        <v>162</v>
      </c>
      <c r="J46" s="121">
        <f>'Demonstração de Resultados'!E25/Balanço!E30</f>
        <v>0.12773303657715174</v>
      </c>
      <c r="K46" s="121">
        <f>'Demonstração de Resultados'!F25/Balanço!F30</f>
        <v>1.8395744598839785E-2</v>
      </c>
      <c r="L46" s="121">
        <f>'Demonstração de Resultados'!G25/Balanço!G30</f>
        <v>0.12898059727120234</v>
      </c>
      <c r="M46" s="264">
        <v>0.3</v>
      </c>
      <c r="N46" s="5" t="str">
        <f>IF(AND(L46&gt;K46,L46&gt;J46),"▲ A empresa aumentou o retorno operacional gerado pelos ativos investidos, indicando melhor desempenho operacional.",
IF(AND(L46&lt;K46,L46&lt;J46),"▼ A empresa diminuiu o retorno operacional gerado pelos ativos investidos, indicando menor desempenho operacional.",
"► O retorno operacional gerado pelos ativos manteve-se estável."))</f>
        <v>▲ A empresa aumentou o retorno operacional gerado pelos ativos investidos, indicando melhor desempenho operacional.</v>
      </c>
      <c r="O46" s="5" t="str">
        <f t="shared" si="0"/>
        <v>▼ A empresa apresenta pior desempenho que o setor neste indicador.</v>
      </c>
      <c r="P46" s="269"/>
    </row>
    <row r="47" spans="8:16" x14ac:dyDescent="0.3">
      <c r="H47" s="131">
        <v>40</v>
      </c>
      <c r="I47" s="13" t="s">
        <v>163</v>
      </c>
      <c r="J47" s="121">
        <f>'Demonstração de Resultados'!E31/Balanço!E47</f>
        <v>0.25320099171308247</v>
      </c>
      <c r="K47" s="121">
        <f>'Demonstração de Resultados'!F31/Balanço!F47</f>
        <v>-8.8353798925556414E-3</v>
      </c>
      <c r="L47" s="121">
        <f>'Demonstração de Resultados'!G31/Balanço!G47</f>
        <v>0.21107740818809659</v>
      </c>
      <c r="M47" s="264">
        <v>0.5</v>
      </c>
      <c r="N47" s="5" t="str">
        <f>IF(AND(L47&gt;K47,L47&gt;J47),"▲ O retorno proporcionado aos sócios aumentou, revelando melhoria na remuneração do capital próprio.",
IF(AND(L47&lt;K47,L47&lt;J47),"▼ O retorno proporcionado aos sócios diminuiu, revelando pior desempenho na remuneração do capital próprio.",
"► O retorno proporcionado aos sócios manteve-se estável."))</f>
        <v>► O retorno proporcionado aos sócios manteve-se estável.</v>
      </c>
      <c r="O47" s="5" t="str">
        <f t="shared" si="0"/>
        <v>▼ A empresa apresenta pior desempenho que o setor neste indicador.</v>
      </c>
      <c r="P47" s="269"/>
    </row>
    <row r="48" spans="8:16" x14ac:dyDescent="0.3">
      <c r="H48" s="131">
        <v>41</v>
      </c>
      <c r="I48" s="13" t="s">
        <v>164</v>
      </c>
      <c r="J48" s="121">
        <f>'Demonstração de Resultados'!E31/Balanço!E30</f>
        <v>8.7331244326002283E-2</v>
      </c>
      <c r="K48" s="121">
        <f>'Demonstração de Resultados'!F31/Balanço!F30</f>
        <v>-2.9583518029564246E-3</v>
      </c>
      <c r="L48" s="121">
        <f>'Demonstração de Resultados'!G31/Balanço!G30</f>
        <v>8.1342209190210138E-2</v>
      </c>
      <c r="M48" s="264">
        <v>0.4</v>
      </c>
      <c r="N48" s="5" t="str">
        <f>IF(AND(L48&gt;K48,L48&gt;J48),"▲ A empresa melhorou a combinação entre margem de lucro e volume de vendas, aumentando a rentabilidade económica.",
IF(AND(L48&lt;K48,L48&lt;J48),"▼ A empresa piorou a combinação entre margem de lucro e volume de vendas, diminuindo a rentabilidade económica.",
"► A combinação entre margem de lucro e vendas manteve-se estável."))</f>
        <v>► A combinação entre margem de lucro e vendas manteve-se estável.</v>
      </c>
      <c r="O48" s="5" t="str">
        <f t="shared" si="0"/>
        <v>▼ A empresa apresenta pior desempenho que o setor neste indicador.</v>
      </c>
      <c r="P48" s="269"/>
    </row>
    <row r="49" spans="8:16" x14ac:dyDescent="0.3">
      <c r="H49" s="131">
        <v>42</v>
      </c>
      <c r="I49" s="132" t="s">
        <v>156</v>
      </c>
      <c r="J49" s="122">
        <f>J50*J51*J52</f>
        <v>2.1642675992583196E-2</v>
      </c>
      <c r="K49" s="122">
        <f t="shared" ref="K49:L49" si="4">K50*K51*K52</f>
        <v>3.3697834389790309E-4</v>
      </c>
      <c r="L49" s="122">
        <f t="shared" si="4"/>
        <v>1.5851715976415312E-2</v>
      </c>
      <c r="M49" s="263">
        <f>M50*M51*M52</f>
        <v>0</v>
      </c>
      <c r="N49" s="5" t="str">
        <f>IF(AND(L49&gt;K49,L49&gt;J49),"▲ O retorno para os sócios aumentou devido à melhoria combinada na margem de lucro, utilização dos ativos ou maior uso de endividamento.",
IF(AND(L49&lt;K49,L49&lt;J49),"▼ O retorno para os sócios diminuiu devido à pioria combinada na margem de lucro, utilização dos ativos ou redução do endividamento.",
"► O retorno para os sócios manteve-se estável face aos anos anteriores."))</f>
        <v>► O retorno para os sócios manteve-se estável face aos anos anteriores.</v>
      </c>
      <c r="O49" s="5" t="str">
        <f t="shared" si="0"/>
        <v>▲ A empresa apresenta melhor desempenho que o setor neste indicador.</v>
      </c>
      <c r="P49" s="269"/>
    </row>
    <row r="50" spans="8:16" x14ac:dyDescent="0.3">
      <c r="H50" s="131">
        <v>43</v>
      </c>
      <c r="I50" s="13" t="s">
        <v>157</v>
      </c>
      <c r="J50" s="122">
        <f>J44</f>
        <v>7.5103572462946869E-2</v>
      </c>
      <c r="K50" s="122">
        <f t="shared" ref="K50:L50" si="5">K44</f>
        <v>-2.191015646373405E-3</v>
      </c>
      <c r="L50" s="122">
        <f t="shared" si="5"/>
        <v>5.8902999189408271E-2</v>
      </c>
      <c r="M50" s="266"/>
      <c r="N50" s="5" t="str">
        <f>IF(AND(L50&gt;K50,L50&gt;J50),"▲ A empresa aumentou o lucro final por cada euro vendido, indicando maior eficiência na gestão das vendas.",
IF(AND(L50&lt;K50,L50&lt;J50),"▼ A empresa diminuiu o lucro final por cada euro vendido, indicando menor eficiência na gestão das vendas.",
"► O lucro final por euro vendido manteve-se estável face aos anos anteriores."))</f>
        <v>► O lucro final por euro vendido manteve-se estável face aos anos anteriores.</v>
      </c>
      <c r="O50" s="5" t="str">
        <f>IF(M50="","",IF(L50&gt;M50,"▲ A empresa apresenta melhor desempenho que o setor neste indicador.",
IF(L50&lt;M50,"▼ A empresa apresenta pior desempenho que o setor neste indicador.",
"► A empresa apresenta um desempenho semelhante ao setor neste indicador.")))</f>
        <v/>
      </c>
      <c r="P50" s="269"/>
    </row>
    <row r="51" spans="8:16" x14ac:dyDescent="0.3">
      <c r="H51" s="131">
        <v>44</v>
      </c>
      <c r="I51" s="13" t="s">
        <v>158</v>
      </c>
      <c r="J51" s="122">
        <f>J45</f>
        <v>9.9392727371027084E-2</v>
      </c>
      <c r="K51" s="122">
        <f t="shared" ref="K51:L51" si="6">K45</f>
        <v>-5.1496902053287059E-2</v>
      </c>
      <c r="L51" s="122">
        <f t="shared" si="6"/>
        <v>0.10370819705515547</v>
      </c>
      <c r="M51" s="266">
        <v>0.4</v>
      </c>
      <c r="N51" s="5" t="str">
        <f>IF(AND(L51&gt;K51,L51&gt;J51),"▲ A empresa está a utilizar melhor os ativos totais para gerar vendas, aumentando a eficiência operacional.",
IF(AND(L51&lt;K51,L51&lt;J51),"▼ A empresa está a utilizar pior os ativos totais para gerar vendas, reduzindo a eficiência operacional.",
"► A eficiência dos ativos para gerar vendas manteve-se estável."))</f>
        <v>▲ A empresa está a utilizar melhor os ativos totais para gerar vendas, aumentando a eficiência operacional.</v>
      </c>
      <c r="O51" s="5" t="str">
        <f>IF(M51="","",IF(L51&gt;M51,"▲ A empresa apresenta melhor desempenho que o setor neste indicador.",
IF(L51&lt;M51,"▼ A empresa apresenta pior desempenho que o setor neste indicador.",
"► A empresa apresenta um desempenho semelhante ao setor neste indicador.")))</f>
        <v>▼ A empresa apresenta pior desempenho que o setor neste indicador.</v>
      </c>
      <c r="P51" s="269"/>
    </row>
    <row r="52" spans="8:16" x14ac:dyDescent="0.3">
      <c r="H52" s="131">
        <v>45</v>
      </c>
      <c r="I52" s="13" t="s">
        <v>159</v>
      </c>
      <c r="J52" s="122">
        <f>Balanço!E30/Balanço!E47</f>
        <v>2.8993173481863876</v>
      </c>
      <c r="K52" s="122">
        <f>Balanço!F30/Balanço!F47</f>
        <v>2.9865886415963163</v>
      </c>
      <c r="L52" s="122">
        <f>Balanço!G30/Balanço!G47</f>
        <v>2.594930851884222</v>
      </c>
      <c r="M52" s="266">
        <v>2</v>
      </c>
      <c r="N52" s="5" t="str">
        <f>IF(AND(L52&gt;K52,L52&gt;J52),"▲ A empresa aumentou o uso de dívida relativamente ao capital próprio, o que pode amplificar os retornos para os sócios, mas também aumenta o risco financeiro.",
IF(AND(L52&lt;K52,L52&lt;J52),"▼ A empresa reduziu o uso de dívida relativamente ao capital próprio, diminuindo potencialmente os retornos mas reduzindo também o risco financeiro.",
"► O nível de endividamento manteve-se estável."))</f>
        <v>▼ A empresa reduziu o uso de dívida relativamente ao capital próprio, diminuindo potencialmente os retornos mas reduzindo também o risco financeiro.</v>
      </c>
      <c r="O52" s="5" t="str">
        <f t="shared" si="0"/>
        <v>▲ A empresa apresenta melhor desempenho que o setor neste indicador.</v>
      </c>
      <c r="P52" s="269"/>
    </row>
    <row r="53" spans="8:16" x14ac:dyDescent="0.3">
      <c r="H53" s="131">
        <v>46</v>
      </c>
      <c r="I53" s="13" t="s">
        <v>180</v>
      </c>
      <c r="J53" s="121">
        <f>'Demonstração de Resultados'!K23/(Balanço!E52+Balanço!E61)</f>
        <v>3.3459975093084855E-2</v>
      </c>
      <c r="K53" s="121">
        <f>'Demonstração de Resultados'!L23/(Balanço!F52+Balanço!F61)</f>
        <v>3.6172593798792459E-2</v>
      </c>
      <c r="L53" s="121">
        <f>'Demonstração de Resultados'!M23/(Balanço!G52+Balanço!G61)</f>
        <v>9.5048968723202606E-2</v>
      </c>
      <c r="M53" s="266">
        <v>5</v>
      </c>
      <c r="N53" s="5" t="s">
        <v>181</v>
      </c>
      <c r="O53" s="5" t="str">
        <f>IF(M53="","",IF(L53&lt;M53,"▲ A empresa apresenta melhor desempenho que o setor neste indicador.",
IF(L53&gt;M53,"▼ A empresa apresenta pior desempenho que o setor neste indicador.",
"► A empresa apresenta um desempenho semelhante ao setor neste indicador.")))</f>
        <v>▲ A empresa apresenta melhor desempenho que o setor neste indicador.</v>
      </c>
      <c r="P53" s="269"/>
    </row>
    <row r="54" spans="8:16" x14ac:dyDescent="0.3">
      <c r="H54" s="131">
        <v>47</v>
      </c>
      <c r="I54" s="13" t="s">
        <v>165</v>
      </c>
      <c r="J54" s="121">
        <f>'Demonstração de Resultados'!E25/Balanço!E30</f>
        <v>0.12773303657715174</v>
      </c>
      <c r="K54" s="121">
        <f>'Demonstração de Resultados'!F25/Balanço!F30</f>
        <v>1.8395744598839785E-2</v>
      </c>
      <c r="L54" s="121">
        <f>'Demonstração de Resultados'!G25/Balanço!G30</f>
        <v>0.12898059727120234</v>
      </c>
      <c r="M54" s="264">
        <v>0.4</v>
      </c>
      <c r="N54" s="5" t="str">
        <f>IF(L54&gt;L53,"▲ A empresa está a ganhar mais com os ativos do que paga em juros: o efeito da alavanca financeira é positivo.",
IF(L54&lt;L53,"▼ A empresa paga mais em juros do que consegue gerar com os ativos: o efeito da alavanca financeira é negativo.",
"► A rentabilidade dos ativos é igual ao custo da dívida: o efeito da alavanca é neutro."))
&amp;
IF(L54&gt;K54," A rentabilidade operacional dos ativos aumentou face ao ano anterior.",
IF(L54&lt;K54," A rentabilidade operacional dos ativos diminuiu face ao ano anterior.",
" A rentabilidade operacional manteve-se estável face ao ano anterior."))
&amp;
IF(L54&gt;J54," Também aumentou face a há dois anos.",
IF(L54&lt;J54," Também diminuiu face a há dois anos.",
" Também se manteve face a há dois anos."))</f>
        <v>▲ A empresa está a ganhar mais com os ativos do que paga em juros: o efeito da alavanca financeira é positivo. A rentabilidade operacional dos ativos aumentou face ao ano anterior. Também aumentou face a há dois anos.</v>
      </c>
      <c r="O54" s="5" t="str">
        <f t="shared" si="0"/>
        <v>▼ A empresa apresenta pior desempenho que o setor neste indicador.</v>
      </c>
      <c r="P54" s="269"/>
    </row>
    <row r="55" spans="8:16" x14ac:dyDescent="0.3">
      <c r="H55" s="131"/>
      <c r="I55" s="129" t="s">
        <v>166</v>
      </c>
      <c r="J55" s="122"/>
      <c r="K55" s="122"/>
      <c r="L55" s="122"/>
      <c r="M55" s="265"/>
      <c r="N55" s="102"/>
      <c r="O55" s="102" t="str">
        <f t="shared" si="0"/>
        <v/>
      </c>
      <c r="P55" s="270"/>
    </row>
    <row r="56" spans="8:16" x14ac:dyDescent="0.3">
      <c r="H56" s="131">
        <v>48</v>
      </c>
      <c r="I56" s="13" t="s">
        <v>167</v>
      </c>
      <c r="J56" s="122">
        <f>('Demonstração de Resultados'!E5-'Demonstração de Resultados'!E10)/'Demonstração de Resultados'!E25</f>
        <v>4.4712382786528186</v>
      </c>
      <c r="K56" s="122">
        <f>('Demonstração de Resultados'!F5-'Demonstração de Resultados'!F10)/'Demonstração de Resultados'!F25</f>
        <v>32.568535009603629</v>
      </c>
      <c r="L56" s="122">
        <f>('Demonstração de Resultados'!G5-'Demonstração de Resultados'!G10)/'Demonstração de Resultados'!G25</f>
        <v>4.6306290161542201</v>
      </c>
      <c r="M56" s="266">
        <v>2</v>
      </c>
      <c r="N56" s="5" t="str">
        <f>IF(AND(L56&gt;K56,L56&gt;J56),"▼ O risco económico aumentou, indicando que pequenas variações nas vendas têm maior impacto no lucro operacional.",
IF(AND(L56&lt;K56,L56&lt;J56),"▲ O risco económico diminuiu, indicando menor sensibilidade do lucro operacional face às variações das vendas.",
"► O risco económico manteve-se estável."))</f>
        <v>► O risco económico manteve-se estável.</v>
      </c>
      <c r="O56" s="5" t="str">
        <f>IF(M56="","",IF(L56&lt;M56,"▲ A empresa apresenta melhor desempenho que o setor neste indicador.",
IF(L56&gt;M56,"▼ A empresa apresenta pior desempenho que o setor neste indicador.",
"► A empresa apresenta um desempenho semelhante ao setor neste indicador.")))</f>
        <v>▼ A empresa apresenta pior desempenho que o setor neste indicador.</v>
      </c>
      <c r="P56" s="269"/>
    </row>
    <row r="57" spans="8:16" x14ac:dyDescent="0.3">
      <c r="H57" s="131">
        <v>49</v>
      </c>
      <c r="I57" s="13" t="s">
        <v>168</v>
      </c>
      <c r="J57" s="122">
        <f>'Demonstração de Resultados'!E25/'Demonstração de Resultados'!E29</f>
        <v>1.1381118881118881</v>
      </c>
      <c r="K57" s="122">
        <f>'Demonstração de Resultados'!F25/'Demonstração de Resultados'!F29</f>
        <v>17.407294832826747</v>
      </c>
      <c r="L57" s="122">
        <f>'Demonstração de Resultados'!G25/'Demonstração de Resultados'!G29</f>
        <v>1.2749616476809087</v>
      </c>
      <c r="M57" s="266">
        <v>1.1000000000000001</v>
      </c>
      <c r="N57" s="5" t="str">
        <f>IF(AND(L57&gt;K57,L57&gt;J57),"▼ O risco financeiro aumentou, sugerindo maior impacto dos resultados operacionais sobre o lucro líquido.",
IF(AND(L57&lt;K57,L57&lt;J57),"▲ O risco financeiro diminuiu, indicando menor impacto dos resultados operacionais sobre o lucro líquido.",
"► O risco financeiro manteve-se estável."))</f>
        <v>► O risco financeiro manteve-se estável.</v>
      </c>
      <c r="O57" s="5" t="str">
        <f t="shared" si="0"/>
        <v>▲ A empresa apresenta melhor desempenho que o setor neste indicador.</v>
      </c>
      <c r="P57" s="269"/>
    </row>
    <row r="58" spans="8:16" x14ac:dyDescent="0.3">
      <c r="H58" s="131">
        <v>50</v>
      </c>
      <c r="I58" s="13" t="s">
        <v>169</v>
      </c>
      <c r="J58" s="122">
        <f>J56*J57</f>
        <v>5.0887694395157084</v>
      </c>
      <c r="K58" s="122">
        <f t="shared" ref="K58:L58" si="7">K56*K57</f>
        <v>566.93009118541022</v>
      </c>
      <c r="L58" s="122">
        <f t="shared" si="7"/>
        <v>5.9038744002350096</v>
      </c>
      <c r="M58" s="266">
        <v>2</v>
      </c>
      <c r="N58" s="5" t="str">
        <f>IF(AND(L58&gt;K58,L58&gt;J58),"▼ O risco global da empresa aumentou, indicando maior sensibilidade dos resultados líquidos a alterações nas vendas.",
IF(AND(L58&lt;K58,L58&lt;J58),"▲ O risco global da empresa diminuiu, sugerindo maior estabilidade dos resultados líquidos face às variações das vendas.",
"► O risco global da empresa manteve-se estável."))</f>
        <v>► O risco global da empresa manteve-se estável.</v>
      </c>
      <c r="O58" s="5" t="str">
        <f t="shared" si="0"/>
        <v>▲ A empresa apresenta melhor desempenho que o setor neste indicador.</v>
      </c>
      <c r="P58" s="269"/>
    </row>
    <row r="59" spans="8:16" ht="15" thickBot="1" x14ac:dyDescent="0.35">
      <c r="H59" s="133">
        <v>51</v>
      </c>
      <c r="I59" s="134" t="s">
        <v>170</v>
      </c>
      <c r="J59" s="127">
        <f>('Demonstração de Resultados'!E5 / ((('Demonstração de Resultados'!E11/2) + 'Demonstração de Resultados'!E12 + 'Demonstração de Resultados'!E22) / (1 - ('Demonstração de Resultados'!E10 + ('Demonstração de Resultados'!E11/2)) / 'Demonstração de Resultados'!E5)) - 1)</f>
        <v>0.33278197123598297</v>
      </c>
      <c r="K59" s="127">
        <f>('Demonstração de Resultados'!F5 / ((('Demonstração de Resultados'!F11/2) + 'Demonstração de Resultados'!F12 + 'Demonstração de Resultados'!F22) / (1 - ('Demonstração de Resultados'!F10 + ('Demonstração de Resultados'!F11/2)) / 'Demonstração de Resultados'!F5)) - 1)</f>
        <v>3.0390710572802959E-3</v>
      </c>
      <c r="L59" s="127">
        <f>('Demonstração de Resultados'!G5 / ((('Demonstração de Resultados'!G11/2) + 'Demonstração de Resultados'!G12 + 'Demonstração de Resultados'!G22) / (1 - ('Demonstração de Resultados'!G10 + ('Demonstração de Resultados'!G11/2)) / 'Demonstração de Resultados'!G5)) - 1)</f>
        <v>0.35053695381564243</v>
      </c>
      <c r="M59" s="267">
        <v>1</v>
      </c>
      <c r="N59" s="6" t="str">
        <f>IF(AND(L59&gt;K59,L59&gt;J59),"▲ A empresa aumentou a margem de segurança, ficando mais longe de prejuízos e aumentando a estabilidade financeira.",
IF(AND(L59&lt;K59,L59&lt;J59),"▼ A empresa diminuiu a margem de segurança, ficando mais perto de prejuízos e reduzindo a estabilidade financeira.",
"► A margem de segurança manteve-se estável."))</f>
        <v>▲ A empresa aumentou a margem de segurança, ficando mais longe de prejuízos e aumentando a estabilidade financeira.</v>
      </c>
      <c r="O59" s="6" t="str">
        <f t="shared" si="0"/>
        <v>▼ A empresa apresenta pior desempenho que o setor neste indicador.</v>
      </c>
      <c r="P59" s="271"/>
    </row>
  </sheetData>
  <sheetProtection selectLockedCells="1"/>
  <mergeCells count="47">
    <mergeCell ref="E14:E15"/>
    <mergeCell ref="E16:E17"/>
    <mergeCell ref="E18:E19"/>
    <mergeCell ref="E4:E5"/>
    <mergeCell ref="E6:E7"/>
    <mergeCell ref="E8:E9"/>
    <mergeCell ref="E10:E11"/>
    <mergeCell ref="E12:E13"/>
    <mergeCell ref="B14:B15"/>
    <mergeCell ref="B16:B17"/>
    <mergeCell ref="C8:C9"/>
    <mergeCell ref="C10:C11"/>
    <mergeCell ref="C12:C13"/>
    <mergeCell ref="C14:C15"/>
    <mergeCell ref="C16:C17"/>
    <mergeCell ref="C4:C5"/>
    <mergeCell ref="C6:C7"/>
    <mergeCell ref="B2:G2"/>
    <mergeCell ref="D16:D17"/>
    <mergeCell ref="D8:D9"/>
    <mergeCell ref="D10:D11"/>
    <mergeCell ref="D12:D13"/>
    <mergeCell ref="D14:D15"/>
    <mergeCell ref="F8:F9"/>
    <mergeCell ref="F10:F11"/>
    <mergeCell ref="F12:F13"/>
    <mergeCell ref="F14:F15"/>
    <mergeCell ref="F16:F17"/>
    <mergeCell ref="B4:B7"/>
    <mergeCell ref="B8:B11"/>
    <mergeCell ref="B12:B13"/>
    <mergeCell ref="B18:B19"/>
    <mergeCell ref="C18:C19"/>
    <mergeCell ref="D18:D19"/>
    <mergeCell ref="F18:F19"/>
    <mergeCell ref="G4:G5"/>
    <mergeCell ref="G6:G7"/>
    <mergeCell ref="G8:G9"/>
    <mergeCell ref="G10:G11"/>
    <mergeCell ref="G12:G13"/>
    <mergeCell ref="G14:G15"/>
    <mergeCell ref="G16:G17"/>
    <mergeCell ref="G18:G19"/>
    <mergeCell ref="F4:F5"/>
    <mergeCell ref="F6:F7"/>
    <mergeCell ref="D4:D5"/>
    <mergeCell ref="D6:D7"/>
  </mergeCells>
  <conditionalFormatting sqref="F4:G4 F5 F6:G6 F7 F8:G8 F9 F10:G10 F11 F12:G12 F13 F14:G14 F15 F16:G16 F17 F18:G18 F19">
    <cfRule type="containsText" dxfId="36" priority="1" operator="containsText" text="▼">
      <formula>NOT(ISERROR(SEARCH("▼",F4)))</formula>
    </cfRule>
    <cfRule type="containsText" dxfId="35" priority="2" operator="containsText" text="▲">
      <formula>NOT(ISERROR(SEARCH("▲",F4)))</formula>
    </cfRule>
  </conditionalFormatting>
  <conditionalFormatting sqref="N3">
    <cfRule type="containsText" dxfId="34" priority="7" operator="containsText" text="►">
      <formula>NOT(ISERROR(SEARCH("►",N3)))</formula>
    </cfRule>
    <cfRule type="containsText" dxfId="33" priority="8" operator="containsText" text="▼">
      <formula>NOT(ISERROR(SEARCH("▼",N3)))</formula>
    </cfRule>
    <cfRule type="containsText" dxfId="32" priority="9" operator="containsText" text="▲">
      <formula>NOT(ISERROR(SEARCH("▲",N3)))</formula>
    </cfRule>
  </conditionalFormatting>
  <conditionalFormatting sqref="N4:N59">
    <cfRule type="containsText" dxfId="31" priority="5" operator="containsText" text="▼">
      <formula>NOT(ISERROR(SEARCH("▼",N4)))</formula>
    </cfRule>
    <cfRule type="containsText" dxfId="30" priority="6" operator="containsText" text="▲">
      <formula>NOT(ISERROR(SEARCH("▲",N4)))</formula>
    </cfRule>
  </conditionalFormatting>
  <conditionalFormatting sqref="O3:O59">
    <cfRule type="containsText" dxfId="29" priority="3" operator="containsText" text="▼">
      <formula>NOT(ISERROR(SEARCH("▼",O3)))</formula>
    </cfRule>
    <cfRule type="containsText" dxfId="28" priority="4" operator="containsText" text="▲">
      <formula>NOT(ISERROR(SEARCH("▲",O3)))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F18A4-CAD6-4B0A-BAD8-08D9E7D27F32}">
  <sheetPr codeName="Folha5">
    <tabColor rgb="FFC00000"/>
  </sheetPr>
  <dimension ref="A1:M76"/>
  <sheetViews>
    <sheetView topLeftCell="A37" zoomScale="41" zoomScaleNormal="85" zoomScalePageLayoutView="130" workbookViewId="0">
      <selection activeCell="F41" sqref="F41"/>
    </sheetView>
  </sheetViews>
  <sheetFormatPr defaultRowHeight="14.4" x14ac:dyDescent="0.3"/>
  <cols>
    <col min="1" max="1" width="20.44140625" style="9" customWidth="1"/>
    <col min="2" max="2" width="68.77734375" customWidth="1"/>
    <col min="3" max="3" width="24.88671875" bestFit="1" customWidth="1"/>
    <col min="4" max="4" width="38.77734375" style="8" customWidth="1"/>
    <col min="5" max="5" width="63.21875" customWidth="1"/>
    <col min="6" max="6" width="14.5546875" customWidth="1"/>
    <col min="7" max="7" width="56.44140625" customWidth="1"/>
    <col min="8" max="8" width="37.5546875" customWidth="1"/>
    <col min="9" max="9" width="30.44140625" customWidth="1"/>
    <col min="10" max="10" width="35.109375" bestFit="1" customWidth="1"/>
    <col min="11" max="11" width="44.33203125" bestFit="1" customWidth="1"/>
    <col min="12" max="12" width="28.5546875" bestFit="1" customWidth="1"/>
    <col min="13" max="13" width="45.5546875" bestFit="1" customWidth="1"/>
  </cols>
  <sheetData>
    <row r="1" spans="2:13" s="9" customFormat="1" ht="51" customHeight="1" thickBot="1" x14ac:dyDescent="0.35">
      <c r="D1" s="10"/>
    </row>
    <row r="2" spans="2:13" ht="34.200000000000003" thickBot="1" x14ac:dyDescent="0.7">
      <c r="B2" s="459" t="s">
        <v>216</v>
      </c>
      <c r="C2" s="460"/>
      <c r="D2" s="460"/>
      <c r="E2" s="460"/>
      <c r="F2" s="460"/>
      <c r="G2" s="461"/>
      <c r="H2" s="9"/>
      <c r="I2" s="9"/>
      <c r="J2" s="9"/>
    </row>
    <row r="3" spans="2:13" ht="15" thickBot="1" x14ac:dyDescent="0.35">
      <c r="B3" s="135" t="s">
        <v>207</v>
      </c>
      <c r="C3" s="36" t="s">
        <v>213</v>
      </c>
      <c r="D3" s="36" t="s">
        <v>214</v>
      </c>
      <c r="E3" s="462" t="s">
        <v>215</v>
      </c>
      <c r="F3" s="463"/>
      <c r="G3" s="464"/>
      <c r="H3" s="539" t="s">
        <v>174</v>
      </c>
      <c r="I3" s="540"/>
      <c r="J3" s="541"/>
    </row>
    <row r="4" spans="2:13" ht="18.600000000000001" thickBot="1" x14ac:dyDescent="0.4">
      <c r="B4" s="136" t="s">
        <v>208</v>
      </c>
      <c r="C4" s="44">
        <f>Performance!L37</f>
        <v>0.82496007596357201</v>
      </c>
      <c r="D4" s="299">
        <v>1.5</v>
      </c>
      <c r="E4" s="465" t="str">
        <f>IF(C4&gt;D4,"▲ A liquidez é adequada para suportar um investimento.","▼ A liquidez é inferior ao ideal para realizar um investimento.")</f>
        <v>▼ A liquidez é inferior ao ideal para realizar um investimento.</v>
      </c>
      <c r="F4" s="465"/>
      <c r="G4" s="466"/>
      <c r="H4" s="536"/>
      <c r="I4" s="537"/>
      <c r="J4" s="538"/>
    </row>
    <row r="5" spans="2:13" ht="18.600000000000001" thickBot="1" x14ac:dyDescent="0.4">
      <c r="B5" s="136" t="s">
        <v>209</v>
      </c>
      <c r="C5" s="45">
        <f>Performance!L10</f>
        <v>0.38536672346158418</v>
      </c>
      <c r="D5" s="300">
        <v>0.33</v>
      </c>
      <c r="E5" s="465" t="str">
        <f>IF(C5&gt;D5,"▲ A empresa tem boa autonomia e reduzida dependência externa.","▼ A autonomia é fraca e pode limitar acesso a financiamento.")</f>
        <v>▲ A empresa tem boa autonomia e reduzida dependência externa.</v>
      </c>
      <c r="F5" s="465"/>
      <c r="G5" s="466"/>
      <c r="H5" s="536"/>
      <c r="I5" s="537"/>
      <c r="J5" s="538"/>
    </row>
    <row r="6" spans="2:13" ht="18.600000000000001" thickBot="1" x14ac:dyDescent="0.4">
      <c r="B6" s="136" t="s">
        <v>210</v>
      </c>
      <c r="C6" s="45">
        <f>Performance!L42</f>
        <v>0.21107740818809659</v>
      </c>
      <c r="D6" s="300">
        <v>0.05</v>
      </c>
      <c r="E6" s="465" t="str">
        <f>IF(C6&gt;D6,"▲ A empresa está a rentabilizar bem o capital dos sócios.","▼ A rentabilidade está abaixo do esperado para novos investimentos.")</f>
        <v>▲ A empresa está a rentabilizar bem o capital dos sócios.</v>
      </c>
      <c r="F6" s="465"/>
      <c r="G6" s="466"/>
      <c r="H6" s="536"/>
      <c r="I6" s="537"/>
      <c r="J6" s="538"/>
    </row>
    <row r="7" spans="2:13" ht="18.600000000000001" thickBot="1" x14ac:dyDescent="0.4">
      <c r="B7" s="136" t="s">
        <v>211</v>
      </c>
      <c r="C7" s="46">
        <f>Performance!L23</f>
        <v>4.6368708452041787</v>
      </c>
      <c r="D7" s="301">
        <v>2</v>
      </c>
      <c r="E7" s="465" t="str">
        <f>IF(C7&gt;D7,"▲ A cobertura de juros é boa, há margem para financiar.","▼ A margem para suportar encargos financeiros é reduzida.")</f>
        <v>▲ A cobertura de juros é boa, há margem para financiar.</v>
      </c>
      <c r="F7" s="465"/>
      <c r="G7" s="466"/>
      <c r="H7" s="536"/>
      <c r="I7" s="537"/>
      <c r="J7" s="538"/>
    </row>
    <row r="8" spans="2:13" ht="18.600000000000001" thickBot="1" x14ac:dyDescent="0.4">
      <c r="B8" s="137" t="s">
        <v>390</v>
      </c>
      <c r="C8" s="47">
        <f>Performance!L11</f>
        <v>0.61463327653841582</v>
      </c>
      <c r="D8" s="302">
        <v>0.66</v>
      </c>
      <c r="E8" s="474" t="str">
        <f>IF(C8&lt;D8,"▲ O nível de endividamento está dentro dos limites saudáveis.","▼ O endividamento é elevado, o que aumenta o risco do investimento.")</f>
        <v>▲ O nível de endividamento está dentro dos limites saudáveis.</v>
      </c>
      <c r="F8" s="474"/>
      <c r="G8" s="475"/>
      <c r="H8" s="536"/>
      <c r="I8" s="537"/>
      <c r="J8" s="538"/>
    </row>
    <row r="9" spans="2:13" ht="24" thickBot="1" x14ac:dyDescent="0.5">
      <c r="B9" s="138" t="s">
        <v>215</v>
      </c>
      <c r="C9" s="476" t="str">
        <f>IF(COUNTIF(E4:E8,"▲*")=5,"✅ A empresa tem condições financeiras sólidas e está preparada para investir.",
IF(COUNTIF(E4:E8,"▼*")=5,"❌ A empresa não está financeiramente preparada para investir neste momento.",
IF(AND(COUNTIF(E4,"▼*")=1,COUNTIF(E5,"▲*")=1,COUNTIF(E6,"▲*")=1,COUNTIF(E7,"▲*")=1,COUNTIF(E8,"▲*")=1),"⚠️ Boa estrutura e rentabilidade, mas sem liquidez. O investimento só deve avançar após reforço de tesouraria.",
IF(AND(COUNTIF(E4,"▼*")=1,COUNTIF(E5,"▲*")=1,COUNTIF(E6,"▲*")=1,COUNTIF(E7,"▲*")=1,COUNTIF(E8,"▲*")=1),"⚠️ Falta liquidez para efetuar o investimento, mas a estrutura permite considerar recurso a capitais alheios (financiamento).",
IF(AND(COUNTIF(E4,"▼*")=1,COUNTIF(E5,"▼*")=1,COUNTIF(E6,"▲*")=1,COUNTIF(E7,"▼*")=1,COUNTIF(E8,"▼*")=1),"⚠️ Apesar da empresa apresentar uma rentabilidade, ao nível de liquidez e de endividamento, o risco financeiro desaconselha o investimento.",
IF(AND(COUNTIF(E4,"▲*")=1,COUNTIF(E5,"▲*")=1,COUNTIF(E6,"▼*")=1,COUNTIF(E7,"▲*")=1,COUNTIF(E8,"▲*")=1),"⚠️ A empresa pode investir pois tem boa estrutura e liquidez, mas deve melhorar a rentabilidade da sua empresa primeiro antes de investir.",
"⚠️ A empresa apresenta indicadores mistos. Recomenda-se uma análise mais detalhada antes de investir."
))))))</f>
        <v>⚠️ Boa estrutura e rentabilidade, mas sem liquidez. O investimento só deve avançar após reforço de tesouraria.</v>
      </c>
      <c r="D9" s="477"/>
      <c r="E9" s="477"/>
      <c r="F9" s="477"/>
      <c r="G9" s="478"/>
      <c r="H9" s="536"/>
      <c r="I9" s="537"/>
      <c r="J9" s="538"/>
    </row>
    <row r="10" spans="2:13" ht="18.600000000000001" thickBot="1" x14ac:dyDescent="0.4">
      <c r="B10" s="479"/>
      <c r="C10" s="479"/>
      <c r="D10" s="479"/>
      <c r="E10" s="479"/>
      <c r="F10" s="9"/>
      <c r="G10" s="9"/>
      <c r="H10" s="498" t="s">
        <v>244</v>
      </c>
      <c r="I10" s="499"/>
      <c r="J10" s="500"/>
      <c r="K10" s="146" t="s">
        <v>298</v>
      </c>
      <c r="L10" s="272" t="s">
        <v>381</v>
      </c>
      <c r="M10" s="2" t="str">
        <f>IF(AND(C13=G68, G68=L10), "", "⚠️ Valores incompatíveis entre C13 e G68")</f>
        <v/>
      </c>
    </row>
    <row r="11" spans="2:13" ht="24" thickBot="1" x14ac:dyDescent="0.5">
      <c r="B11" s="407" t="s">
        <v>316</v>
      </c>
      <c r="C11" s="408"/>
      <c r="D11" s="408"/>
      <c r="E11" s="408"/>
      <c r="F11" s="408"/>
      <c r="G11" s="409"/>
      <c r="H11" s="110" t="s">
        <v>245</v>
      </c>
      <c r="I11" s="111" t="s">
        <v>246</v>
      </c>
      <c r="J11" s="112" t="s">
        <v>247</v>
      </c>
      <c r="K11" s="147" t="s">
        <v>299</v>
      </c>
      <c r="L11" s="38">
        <f>L12+L13+L14+L15+L16</f>
        <v>-71910</v>
      </c>
    </row>
    <row r="12" spans="2:13" ht="24" thickBot="1" x14ac:dyDescent="0.5">
      <c r="B12" s="103" t="s">
        <v>218</v>
      </c>
      <c r="C12" s="273" t="s">
        <v>306</v>
      </c>
      <c r="D12" s="289" t="s">
        <v>220</v>
      </c>
      <c r="E12" s="491" t="s">
        <v>252</v>
      </c>
      <c r="F12" s="492"/>
      <c r="G12" s="279" t="s">
        <v>356</v>
      </c>
      <c r="H12" s="104">
        <v>1</v>
      </c>
      <c r="I12" s="113">
        <f>IF(G12="Não", 0, -CUMIPMT($F$16/12, $F$14*12, $F$13, (1+(12*(H12-1))), (12*H12), 0))</f>
        <v>2736.7208321264925</v>
      </c>
      <c r="J12" s="114">
        <f>($F$18*12)-I12</f>
        <v>3476.6577429913768</v>
      </c>
      <c r="K12" s="148" t="s">
        <v>251</v>
      </c>
      <c r="L12" s="116">
        <f>IF(F15=0,
    IF(L10="Revenda", -C29,
    IF(L10="Arrendamento", -F29,
    IF(L10="Uso próprio (ex escritório)", -I29, ""))),
-F15)</f>
        <v>-65000</v>
      </c>
    </row>
    <row r="13" spans="2:13" x14ac:dyDescent="0.3">
      <c r="B13" s="104" t="s">
        <v>219</v>
      </c>
      <c r="C13" s="274" t="s">
        <v>381</v>
      </c>
      <c r="D13" s="37" t="str">
        <f>IF(AND(C13&lt;&gt;G68, C13&lt;&gt;L10), "⚠️ Incompatível com G68 e L10",
   IF(C13&lt;&gt;G68, "⚠️ Incompatível com G68",
   IF(C13&lt;&gt;L10, "⚠️ Incompatível com L10", ""))
)</f>
        <v/>
      </c>
      <c r="E13" s="158" t="s">
        <v>239</v>
      </c>
      <c r="F13" s="278">
        <v>70000</v>
      </c>
      <c r="G13" s="493" t="s">
        <v>279</v>
      </c>
      <c r="H13" s="104">
        <v>2</v>
      </c>
      <c r="I13" s="113">
        <f>IF(G12="Não", 0, -CUMIPMT($F$16/12, $F$14*12, $F$13, (1+(12*(H13-1))), (12*H13), 0))</f>
        <v>2595.0764314729904</v>
      </c>
      <c r="J13" s="114">
        <f t="shared" ref="J13:J21" si="0">($F$18*12)-I13</f>
        <v>3618.3021436448789</v>
      </c>
      <c r="K13" s="148" t="s">
        <v>304</v>
      </c>
      <c r="L13" s="116">
        <f>IF(C14="Inventário", IF(L10="Revenda", C26, IF(L10="Arrendamento", F26, 0)), 0)</f>
        <v>0</v>
      </c>
    </row>
    <row r="14" spans="2:13" x14ac:dyDescent="0.3">
      <c r="B14" s="104" t="s">
        <v>206</v>
      </c>
      <c r="C14" s="496" t="str">
        <f>IF(C13="Uso próprio (ex escritório)","Ativo fixo tangível",
IF(AND(C12="Sim",C13="Revenda"),"Inventário",
IF(C13="Arrendamento","Propriedade de investimento",
IF(AND(C12="Não",C13="Revenda"),"Classificação inválida (revenda sem CAE imobiliário)",
"—"))))</f>
        <v>Propriedade de investimento</v>
      </c>
      <c r="D14" s="497"/>
      <c r="E14" s="159" t="s">
        <v>240</v>
      </c>
      <c r="F14" s="277">
        <v>15</v>
      </c>
      <c r="G14" s="494"/>
      <c r="H14" s="104">
        <v>3</v>
      </c>
      <c r="I14" s="113">
        <f>IF(G12="Não", 0, -CUMIPMT($F$16/12, $F$14*12, $F$13, (1+(12*(H14-1))), (12*H14), 0))</f>
        <v>2447.661219390915</v>
      </c>
      <c r="J14" s="114">
        <f t="shared" si="0"/>
        <v>3765.7173557269543</v>
      </c>
      <c r="K14" s="148" t="s">
        <v>260</v>
      </c>
      <c r="L14" s="113">
        <f>-IF(L10="Revenda", C45,
   IF(L10="Arrendamento", F47,
   IF(L10="Uso próprio (ex escritório)", I30, "")))</f>
        <v>-4280</v>
      </c>
    </row>
    <row r="15" spans="2:13" ht="14.4" customHeight="1" x14ac:dyDescent="0.3">
      <c r="B15" s="485" t="s">
        <v>215</v>
      </c>
      <c r="C15" s="487" t="str">
        <f>IF(C14="Ativo fixo tangível","Sujeito a depreciação. Uso próprio e não gera rendimento direto.",
IF(C14="Propriedade de investimento","Sujeito a depreciação. Arrendamento ou valorização futura.",
IF(C14="Inventário","Sem depreciação. Reconhecido como custo na venda. Requer atividade no setor.",
IF(C14="Classificação inválida (revenda sem CAE imobiliário)","Classificação excecional. Pode ser aceite como AFT se for pontual. Não usar esta opção de forma recorrente. Ver eBook.",
""))))</f>
        <v>Sujeito a depreciação. Arrendamento ou valorização futura.</v>
      </c>
      <c r="D15" s="488"/>
      <c r="E15" s="159" t="s">
        <v>251</v>
      </c>
      <c r="F15" s="160">
        <f>IF(C13="Revenda",C29-F13,IF(C13="Arrendamento",F29-F13,IF(C13="Uso próprio (ex escritório)",MIN(C26,F26)-F13,"")))</f>
        <v>65000</v>
      </c>
      <c r="G15" s="494"/>
      <c r="H15" s="104">
        <v>4</v>
      </c>
      <c r="I15" s="113">
        <f>IF(G12="Não", 0, -CUMIPMT($F$16/12, $F$14*12, $F$13, (1+(12*(H15-1))), (12*H15), 0))</f>
        <v>2294.2400841187687</v>
      </c>
      <c r="J15" s="114">
        <f t="shared" si="0"/>
        <v>3919.1384909991007</v>
      </c>
      <c r="K15" s="115" t="s">
        <v>282</v>
      </c>
      <c r="L15" s="113">
        <f>-IF(L10="Revenda", C43,
    IF(L10="Arrendamento", F45,
    IF(L10="Uso próprio (ex escritório)", I35, "")))</f>
        <v>-1000</v>
      </c>
    </row>
    <row r="16" spans="2:13" x14ac:dyDescent="0.3">
      <c r="B16" s="486"/>
      <c r="C16" s="489"/>
      <c r="D16" s="490"/>
      <c r="E16" s="159" t="s">
        <v>241</v>
      </c>
      <c r="F16" s="280">
        <v>0.04</v>
      </c>
      <c r="G16" s="494"/>
      <c r="H16" s="104">
        <v>3</v>
      </c>
      <c r="I16" s="113">
        <f>IF(G12="Não", 0, -CUMIPMT($F$16/12, $F$14*12, $F$13, (1+(12*(H16-1))), (12*H16), 0))</f>
        <v>2447.661219390915</v>
      </c>
      <c r="J16" s="114">
        <f t="shared" si="0"/>
        <v>3765.7173557269543</v>
      </c>
      <c r="K16" s="115" t="s">
        <v>259</v>
      </c>
      <c r="L16" s="113">
        <f>-IF(L10="Revenda", C44,
    IF(L10="Arrendamento", F46,
    IF(L10="Uso próprio (ex escritório)", I34, "")))</f>
        <v>-1630</v>
      </c>
    </row>
    <row r="17" spans="2:12" x14ac:dyDescent="0.3">
      <c r="B17" s="104" t="s">
        <v>221</v>
      </c>
      <c r="C17" s="275" t="s">
        <v>222</v>
      </c>
      <c r="D17" s="14" t="s">
        <v>293</v>
      </c>
      <c r="E17" s="161" t="s">
        <v>242</v>
      </c>
      <c r="F17" s="162">
        <f>1-(F15/IF(C13="Arrendamento",F26,IF(C13="Revenda",C26,IF(C13="Uso próprio (ex escritório)",MIN(C26,F26),""))))</f>
        <v>0.45833333333333337</v>
      </c>
      <c r="G17" s="494"/>
      <c r="H17" s="104">
        <v>5</v>
      </c>
      <c r="I17" s="113">
        <f>IF(G12="Não", 0, -CUMIPMT($F$16/12, $F$14*12, $F$13, (1+(12*(H17-1))), (12*H17), 0))</f>
        <v>2134.5683350791296</v>
      </c>
      <c r="J17" s="114">
        <f t="shared" si="0"/>
        <v>4078.8102400387397</v>
      </c>
      <c r="K17" s="147" t="s">
        <v>300</v>
      </c>
      <c r="L17" s="39">
        <f>L18+L19</f>
        <v>6213.3785751178693</v>
      </c>
    </row>
    <row r="18" spans="2:12" x14ac:dyDescent="0.3">
      <c r="B18" s="104" t="s">
        <v>203</v>
      </c>
      <c r="C18" s="275" t="s">
        <v>223</v>
      </c>
      <c r="D18" s="14"/>
      <c r="E18" s="159" t="s">
        <v>243</v>
      </c>
      <c r="F18" s="163">
        <f>-PMT(F16/12,F14*12,F13)</f>
        <v>517.78154792648911</v>
      </c>
      <c r="G18" s="494"/>
      <c r="H18" s="104">
        <v>6</v>
      </c>
      <c r="I18" s="113">
        <f>IF(G12="Não", 0, -CUMIPMT($F$16/12, $F$14*12, $F$13, (1+(12*(H18-1))), (12*H18), 0))</f>
        <v>1968.3913126229136</v>
      </c>
      <c r="J18" s="114">
        <f t="shared" si="0"/>
        <v>4244.9872624949558</v>
      </c>
      <c r="K18" s="115" t="s">
        <v>301</v>
      </c>
      <c r="L18" s="113">
        <f>I12</f>
        <v>2736.7208321264925</v>
      </c>
    </row>
    <row r="19" spans="2:12" x14ac:dyDescent="0.3">
      <c r="B19" s="104" t="s">
        <v>225</v>
      </c>
      <c r="C19" s="276">
        <f>IF(C17="Industrial",20,50)</f>
        <v>50</v>
      </c>
      <c r="D19" s="14" t="s">
        <v>226</v>
      </c>
      <c r="E19" s="159" t="s">
        <v>248</v>
      </c>
      <c r="F19" s="160">
        <f>0.006*F13</f>
        <v>420</v>
      </c>
      <c r="G19" s="494"/>
      <c r="H19" s="104">
        <v>7</v>
      </c>
      <c r="I19" s="113">
        <f>IF(G12="Não", 0, -CUMIPMT($F$16/12, $F$14*12, $F$13, (1+(12*(H19-1))), (12*H19), 0))</f>
        <v>1795.4439818740157</v>
      </c>
      <c r="J19" s="114">
        <f t="shared" si="0"/>
        <v>4417.9345932438537</v>
      </c>
      <c r="K19" s="115" t="s">
        <v>302</v>
      </c>
      <c r="L19" s="113">
        <f>J12</f>
        <v>3476.6577429913768</v>
      </c>
    </row>
    <row r="20" spans="2:12" x14ac:dyDescent="0.3">
      <c r="B20" s="104" t="s">
        <v>224</v>
      </c>
      <c r="C20" s="13" t="str">
        <f>IF(C18="Modelo do custo","Linear","—")</f>
        <v>Linear</v>
      </c>
      <c r="D20" s="14"/>
      <c r="E20" s="164" t="s">
        <v>249</v>
      </c>
      <c r="F20" s="278">
        <v>1000</v>
      </c>
      <c r="G20" s="494"/>
      <c r="H20" s="104">
        <v>8</v>
      </c>
      <c r="I20" s="113">
        <f>IF(G12="Não", 0, -CUMIPMT($F$16/12, $F$14*12, $F$13, (1+(12*(H20-1))), (12*H20), 0))</f>
        <v>1615.4505100265469</v>
      </c>
      <c r="J20" s="114">
        <f t="shared" si="0"/>
        <v>4597.9280650913224</v>
      </c>
      <c r="K20" s="147" t="s">
        <v>307</v>
      </c>
      <c r="L20" s="38">
        <f>L21+L22-L23</f>
        <v>122394.4</v>
      </c>
    </row>
    <row r="21" spans="2:12" ht="16.2" thickBot="1" x14ac:dyDescent="0.35">
      <c r="B21" s="105" t="s">
        <v>204</v>
      </c>
      <c r="C21" s="34">
        <f>IF(C17="Terreno", 0,
   IF(AND(OR(C14="Ativo fixo tangível", C14="Propriedade de investimento", C14="Classificação inválida (revenda sem CAE imobiliário)"),
         C18="Modelo do custo"),
      1/C19,
   ""))</f>
        <v>0.02</v>
      </c>
      <c r="D21" s="15"/>
      <c r="E21" s="165" t="s">
        <v>250</v>
      </c>
      <c r="F21" s="166">
        <f>0.005*(F13-J13)</f>
        <v>331.90848928177564</v>
      </c>
      <c r="G21" s="495"/>
      <c r="H21" s="104">
        <v>9</v>
      </c>
      <c r="I21" s="113">
        <f>IF(G12="Não", 0, -CUMIPMT($F$16/12, $F$14*12, $F$13, (1+(12*(H21-1))), (12*H21), 0))</f>
        <v>1428.1238264205231</v>
      </c>
      <c r="J21" s="114">
        <f t="shared" si="0"/>
        <v>4785.2547486973463</v>
      </c>
      <c r="K21" s="148" t="s">
        <v>308</v>
      </c>
      <c r="L21" s="116">
        <f>IF(C14&lt;&gt;"Inventário",
   IF(L10="Revenda", C26,
   IF(L10="Arrendamento", F26,
   IF(L10="Uso próprio (ex escritório)", I26, 0))),
0)</f>
        <v>120000</v>
      </c>
    </row>
    <row r="22" spans="2:12" ht="21.6" thickBot="1" x14ac:dyDescent="0.45">
      <c r="B22" s="507" t="s">
        <v>217</v>
      </c>
      <c r="C22" s="508"/>
      <c r="D22" s="508"/>
      <c r="E22" s="508"/>
      <c r="F22" s="508"/>
      <c r="G22" s="508"/>
      <c r="H22" s="508"/>
      <c r="I22" s="508"/>
      <c r="J22" s="509"/>
      <c r="K22" s="148" t="s">
        <v>309</v>
      </c>
      <c r="L22" s="116">
        <f>IF(L10="Revenda", C45,
   IF(L10="Arrendamento", F47,
   IF(L10="Uso próprio (ex escritório)", I30, 0)))</f>
        <v>4280</v>
      </c>
    </row>
    <row r="23" spans="2:12" ht="18.600000000000001" thickBot="1" x14ac:dyDescent="0.4">
      <c r="B23" s="482" t="s">
        <v>275</v>
      </c>
      <c r="C23" s="483"/>
      <c r="D23" s="484"/>
      <c r="E23" s="482" t="s">
        <v>263</v>
      </c>
      <c r="F23" s="483"/>
      <c r="G23" s="484"/>
      <c r="H23" s="482" t="s">
        <v>344</v>
      </c>
      <c r="I23" s="483"/>
      <c r="J23" s="484"/>
      <c r="K23" s="148" t="s">
        <v>310</v>
      </c>
      <c r="L23" s="113">
        <f>IF(L10="Revenda", C56,
   IF(L10="Arrendamento", F56,
   IF(L10="Uso próprio (ex escritório)", J46, 0)))</f>
        <v>1885.6000000000001</v>
      </c>
    </row>
    <row r="24" spans="2:12" ht="18" customHeight="1" thickBot="1" x14ac:dyDescent="0.4">
      <c r="B24" s="16" t="s">
        <v>228</v>
      </c>
      <c r="C24" s="17"/>
      <c r="D24" s="12"/>
      <c r="E24" s="16" t="s">
        <v>228</v>
      </c>
      <c r="F24" s="17"/>
      <c r="G24" s="12"/>
      <c r="H24" s="505" t="s">
        <v>228</v>
      </c>
      <c r="I24" s="506"/>
      <c r="J24" s="154"/>
      <c r="K24" s="147" t="s">
        <v>311</v>
      </c>
      <c r="L24" s="39">
        <f>L25</f>
        <v>66523.342257008626</v>
      </c>
    </row>
    <row r="25" spans="2:12" ht="14.4" customHeight="1" x14ac:dyDescent="0.3">
      <c r="B25" s="104" t="s">
        <v>202</v>
      </c>
      <c r="C25" s="281" t="s">
        <v>230</v>
      </c>
      <c r="D25" s="11"/>
      <c r="E25" s="104" t="s">
        <v>202</v>
      </c>
      <c r="F25" s="281" t="s">
        <v>230</v>
      </c>
      <c r="G25" s="11"/>
      <c r="H25" s="108" t="s">
        <v>202</v>
      </c>
      <c r="I25" s="295" t="s">
        <v>345</v>
      </c>
      <c r="J25" s="503" t="s">
        <v>337</v>
      </c>
      <c r="K25" s="148" t="s">
        <v>312</v>
      </c>
      <c r="L25" s="113">
        <f>F13-J12</f>
        <v>66523.342257008626</v>
      </c>
    </row>
    <row r="26" spans="2:12" x14ac:dyDescent="0.3">
      <c r="B26" s="104" t="s">
        <v>201</v>
      </c>
      <c r="C26" s="288">
        <v>120000</v>
      </c>
      <c r="D26" s="11"/>
      <c r="E26" s="104" t="s">
        <v>201</v>
      </c>
      <c r="F26" s="282">
        <v>120000</v>
      </c>
      <c r="G26" s="11"/>
      <c r="H26" s="104" t="s">
        <v>201</v>
      </c>
      <c r="I26" s="282">
        <v>120000</v>
      </c>
      <c r="J26" s="503"/>
      <c r="K26" s="147" t="s">
        <v>303</v>
      </c>
      <c r="L26" s="39">
        <f>L27</f>
        <v>2852.548507405947</v>
      </c>
    </row>
    <row r="27" spans="2:12" x14ac:dyDescent="0.3">
      <c r="B27" s="104" t="s">
        <v>227</v>
      </c>
      <c r="C27" s="288">
        <v>75000</v>
      </c>
      <c r="D27" s="11"/>
      <c r="E27" s="104" t="s">
        <v>227</v>
      </c>
      <c r="F27" s="282">
        <v>75000</v>
      </c>
      <c r="G27" s="11"/>
      <c r="H27" s="104" t="s">
        <v>227</v>
      </c>
      <c r="I27" s="282">
        <v>75000</v>
      </c>
      <c r="J27" s="503"/>
      <c r="K27" s="115" t="s">
        <v>305</v>
      </c>
      <c r="L27" s="113">
        <f>IF(L10="Revenda", C64,
   IF(L10="Arrendamento", F64,
   IF(L10="Uso próprio (ex escritório)", J54, "")))</f>
        <v>2852.548507405947</v>
      </c>
    </row>
    <row r="28" spans="2:12" x14ac:dyDescent="0.3">
      <c r="B28" s="104" t="s">
        <v>229</v>
      </c>
      <c r="C28" s="288">
        <v>15000</v>
      </c>
      <c r="D28" s="11"/>
      <c r="E28" s="104" t="s">
        <v>229</v>
      </c>
      <c r="F28" s="282">
        <v>15000</v>
      </c>
      <c r="G28" s="11"/>
      <c r="H28" s="104" t="s">
        <v>229</v>
      </c>
      <c r="I28" s="282">
        <v>15000</v>
      </c>
      <c r="J28" s="503"/>
      <c r="K28" s="147" t="s">
        <v>313</v>
      </c>
      <c r="L28" s="40">
        <f>L29+L30+L31</f>
        <v>3736.7208321264925</v>
      </c>
    </row>
    <row r="29" spans="2:12" ht="15" thickBot="1" x14ac:dyDescent="0.35">
      <c r="B29" s="104" t="s">
        <v>235</v>
      </c>
      <c r="C29" s="22">
        <f>C26+C28</f>
        <v>135000</v>
      </c>
      <c r="D29" s="11"/>
      <c r="E29" s="105" t="s">
        <v>235</v>
      </c>
      <c r="F29" s="33">
        <f>F26+F28</f>
        <v>135000</v>
      </c>
      <c r="G29" s="11"/>
      <c r="H29" s="105" t="s">
        <v>235</v>
      </c>
      <c r="I29" s="33">
        <f>I26+I28</f>
        <v>135000</v>
      </c>
      <c r="J29" s="503"/>
      <c r="K29" s="115" t="s">
        <v>314</v>
      </c>
      <c r="L29" s="117">
        <f>I12</f>
        <v>2736.7208321264925</v>
      </c>
    </row>
    <row r="30" spans="2:12" ht="15" thickBot="1" x14ac:dyDescent="0.35">
      <c r="B30" s="104" t="s">
        <v>236</v>
      </c>
      <c r="C30" s="288">
        <v>170000</v>
      </c>
      <c r="D30" s="11"/>
      <c r="E30" s="19" t="s">
        <v>231</v>
      </c>
      <c r="F30" s="24"/>
      <c r="G30" s="11"/>
      <c r="H30" s="19" t="s">
        <v>231</v>
      </c>
      <c r="I30" s="153">
        <f>SUM(I31:I33)</f>
        <v>3860</v>
      </c>
      <c r="J30" s="503"/>
      <c r="K30" s="115" t="s">
        <v>282</v>
      </c>
      <c r="L30" s="116">
        <f>F20</f>
        <v>1000</v>
      </c>
    </row>
    <row r="31" spans="2:12" ht="15" thickBot="1" x14ac:dyDescent="0.35">
      <c r="B31" s="106" t="s">
        <v>237</v>
      </c>
      <c r="C31" s="23">
        <f>C30-C29</f>
        <v>35000</v>
      </c>
      <c r="D31" s="11"/>
      <c r="E31" s="104" t="s">
        <v>232</v>
      </c>
      <c r="F31" s="283">
        <v>2000</v>
      </c>
      <c r="G31" s="437" t="s">
        <v>337</v>
      </c>
      <c r="H31" s="104" t="s">
        <v>232</v>
      </c>
      <c r="I31" s="283">
        <v>2000</v>
      </c>
      <c r="J31" s="503"/>
      <c r="K31" s="149" t="s">
        <v>250</v>
      </c>
      <c r="L31" s="113">
        <f>IF(L10="Revenda", F21,
   IF(OR(L10="Arrendamento", L10="Uso próprio (ex escritório)"), 0))</f>
        <v>0</v>
      </c>
    </row>
    <row r="32" spans="2:12" x14ac:dyDescent="0.3">
      <c r="B32" s="19" t="s">
        <v>231</v>
      </c>
      <c r="C32" s="24"/>
      <c r="D32" s="11"/>
      <c r="E32" s="104" t="s">
        <v>233</v>
      </c>
      <c r="F32" s="25">
        <f>0.008*MAX(F26:F27)</f>
        <v>960</v>
      </c>
      <c r="G32" s="438"/>
      <c r="H32" s="104" t="s">
        <v>233</v>
      </c>
      <c r="I32" s="25">
        <f>0.008*MAX(I26:I27)</f>
        <v>960</v>
      </c>
      <c r="J32" s="503"/>
    </row>
    <row r="33" spans="2:10" ht="15" thickBot="1" x14ac:dyDescent="0.35">
      <c r="B33" s="104" t="s">
        <v>238</v>
      </c>
      <c r="C33" s="286">
        <f>0.05*C30+(0.23*0.05*C30)</f>
        <v>10455</v>
      </c>
      <c r="D33" s="11"/>
      <c r="E33" s="105" t="s">
        <v>234</v>
      </c>
      <c r="F33" s="284">
        <v>900</v>
      </c>
      <c r="G33" s="438"/>
      <c r="H33" s="106" t="s">
        <v>234</v>
      </c>
      <c r="I33" s="296">
        <v>900</v>
      </c>
      <c r="J33" s="504"/>
    </row>
    <row r="34" spans="2:10" x14ac:dyDescent="0.3">
      <c r="B34" s="104" t="s">
        <v>232</v>
      </c>
      <c r="C34" s="283">
        <v>2000</v>
      </c>
      <c r="D34" s="434" t="s">
        <v>337</v>
      </c>
      <c r="E34" s="19" t="s">
        <v>268</v>
      </c>
      <c r="F34" s="24"/>
      <c r="G34" s="438"/>
      <c r="H34" s="19" t="s">
        <v>253</v>
      </c>
      <c r="I34" s="153">
        <f>SUM(I36:I40)</f>
        <v>3230</v>
      </c>
      <c r="J34" s="9"/>
    </row>
    <row r="35" spans="2:10" x14ac:dyDescent="0.3">
      <c r="B35" s="104" t="s">
        <v>233</v>
      </c>
      <c r="C35" s="25">
        <f>0.008*MAX(C26:C27)</f>
        <v>960</v>
      </c>
      <c r="D35" s="435"/>
      <c r="E35" s="104" t="s">
        <v>269</v>
      </c>
      <c r="F35" s="285">
        <v>900</v>
      </c>
      <c r="G35" s="438"/>
      <c r="H35" s="104" t="s">
        <v>282</v>
      </c>
      <c r="I35" s="25">
        <f>F20</f>
        <v>1000</v>
      </c>
      <c r="J35" s="9"/>
    </row>
    <row r="36" spans="2:10" ht="15" thickBot="1" x14ac:dyDescent="0.35">
      <c r="B36" s="105" t="s">
        <v>234</v>
      </c>
      <c r="C36" s="284">
        <v>900</v>
      </c>
      <c r="D36" s="435"/>
      <c r="E36" s="104" t="s">
        <v>270</v>
      </c>
      <c r="F36" s="25">
        <f>F35*12</f>
        <v>10800</v>
      </c>
      <c r="G36" s="438"/>
      <c r="H36" s="104" t="s">
        <v>254</v>
      </c>
      <c r="I36" s="286">
        <v>250</v>
      </c>
      <c r="J36" s="9"/>
    </row>
    <row r="37" spans="2:10" ht="15" thickBot="1" x14ac:dyDescent="0.35">
      <c r="B37" s="19" t="s">
        <v>253</v>
      </c>
      <c r="C37" s="24"/>
      <c r="D37" s="435"/>
      <c r="E37" s="105" t="s">
        <v>271</v>
      </c>
      <c r="F37" s="27">
        <f>F36/F29</f>
        <v>0.08</v>
      </c>
      <c r="G37" s="439"/>
      <c r="H37" s="104" t="s">
        <v>255</v>
      </c>
      <c r="I37" s="286">
        <f>40*12</f>
        <v>480</v>
      </c>
      <c r="J37" s="9"/>
    </row>
    <row r="38" spans="2:10" x14ac:dyDescent="0.3">
      <c r="B38" s="104" t="s">
        <v>254</v>
      </c>
      <c r="C38" s="286">
        <v>250</v>
      </c>
      <c r="D38" s="435"/>
      <c r="E38" s="19" t="s">
        <v>253</v>
      </c>
      <c r="F38" s="24"/>
      <c r="G38" s="428" t="s">
        <v>354</v>
      </c>
      <c r="H38" s="104" t="s">
        <v>256</v>
      </c>
      <c r="I38" s="286">
        <v>1500</v>
      </c>
      <c r="J38" s="9"/>
    </row>
    <row r="39" spans="2:10" x14ac:dyDescent="0.3">
      <c r="B39" s="104" t="s">
        <v>255</v>
      </c>
      <c r="C39" s="286">
        <f>49*12</f>
        <v>588</v>
      </c>
      <c r="D39" s="435"/>
      <c r="E39" s="104" t="s">
        <v>254</v>
      </c>
      <c r="F39" s="286">
        <v>250</v>
      </c>
      <c r="G39" s="429"/>
      <c r="H39" s="104" t="s">
        <v>272</v>
      </c>
      <c r="I39" s="286">
        <v>1000</v>
      </c>
      <c r="J39" s="9"/>
    </row>
    <row r="40" spans="2:10" ht="15" thickBot="1" x14ac:dyDescent="0.35">
      <c r="B40" s="105" t="s">
        <v>256</v>
      </c>
      <c r="C40" s="284">
        <v>100</v>
      </c>
      <c r="D40" s="436"/>
      <c r="E40" s="104" t="s">
        <v>255</v>
      </c>
      <c r="F40" s="286">
        <f>40*12</f>
        <v>480</v>
      </c>
      <c r="G40" s="429"/>
      <c r="H40" s="105" t="s">
        <v>273</v>
      </c>
      <c r="I40" s="284">
        <v>0</v>
      </c>
      <c r="J40" s="9"/>
    </row>
    <row r="41" spans="2:10" ht="15" thickBot="1" x14ac:dyDescent="0.35">
      <c r="B41" s="19" t="s">
        <v>257</v>
      </c>
      <c r="C41" s="24"/>
      <c r="D41" s="9"/>
      <c r="E41" s="104" t="s">
        <v>256</v>
      </c>
      <c r="F41" s="286">
        <v>0</v>
      </c>
      <c r="G41" s="429"/>
      <c r="H41" s="151" t="s">
        <v>320</v>
      </c>
      <c r="I41" s="152"/>
      <c r="J41" s="150"/>
    </row>
    <row r="42" spans="2:10" x14ac:dyDescent="0.3">
      <c r="B42" s="104" t="s">
        <v>258</v>
      </c>
      <c r="C42" s="25">
        <f>C31</f>
        <v>35000</v>
      </c>
      <c r="D42" s="10"/>
      <c r="E42" s="104" t="s">
        <v>272</v>
      </c>
      <c r="F42" s="286">
        <f>F35</f>
        <v>900</v>
      </c>
      <c r="G42" s="429"/>
      <c r="H42" s="426" t="s">
        <v>266</v>
      </c>
      <c r="I42" s="427"/>
      <c r="J42" s="29">
        <f>'Demonstração de Resultados'!G29</f>
        <v>30637</v>
      </c>
    </row>
    <row r="43" spans="2:10" ht="15" thickBot="1" x14ac:dyDescent="0.35">
      <c r="B43" s="104" t="s">
        <v>280</v>
      </c>
      <c r="C43" s="25">
        <f>F20+F21</f>
        <v>1331.9084892817757</v>
      </c>
      <c r="D43" s="10"/>
      <c r="E43" s="105" t="s">
        <v>273</v>
      </c>
      <c r="F43" s="284">
        <v>0</v>
      </c>
      <c r="G43" s="430"/>
      <c r="H43" s="426" t="s">
        <v>267</v>
      </c>
      <c r="I43" s="427"/>
      <c r="J43" s="25">
        <f>'Demonstração de Resultados'!G30</f>
        <v>6003</v>
      </c>
    </row>
    <row r="44" spans="2:10" ht="15" thickBot="1" x14ac:dyDescent="0.35">
      <c r="B44" s="104" t="s">
        <v>259</v>
      </c>
      <c r="C44" s="25">
        <f>C38+C39+C40</f>
        <v>938</v>
      </c>
      <c r="D44" s="10"/>
      <c r="E44" s="19" t="s">
        <v>281</v>
      </c>
      <c r="F44" s="24"/>
      <c r="G44" s="11"/>
      <c r="H44" s="426" t="s">
        <v>283</v>
      </c>
      <c r="I44" s="427"/>
      <c r="J44" s="26">
        <f>'Demonstração de Resultados'!G21</f>
        <v>53703</v>
      </c>
    </row>
    <row r="45" spans="2:10" x14ac:dyDescent="0.3">
      <c r="B45" s="104" t="s">
        <v>260</v>
      </c>
      <c r="C45" s="25">
        <f>C34+C35+C36+F19</f>
        <v>4280</v>
      </c>
      <c r="D45" s="10"/>
      <c r="E45" s="104" t="s">
        <v>282</v>
      </c>
      <c r="F45" s="25">
        <f>F20</f>
        <v>1000</v>
      </c>
      <c r="G45" s="11"/>
      <c r="H45" s="426" t="s">
        <v>261</v>
      </c>
      <c r="I45" s="427"/>
      <c r="J45" s="29">
        <f>J44-I34</f>
        <v>50473</v>
      </c>
    </row>
    <row r="46" spans="2:10" ht="15" thickBot="1" x14ac:dyDescent="0.35">
      <c r="B46" s="104" t="s">
        <v>238</v>
      </c>
      <c r="C46" s="25">
        <f>C33</f>
        <v>10455</v>
      </c>
      <c r="D46" s="10"/>
      <c r="E46" s="104" t="s">
        <v>259</v>
      </c>
      <c r="F46" s="25">
        <f>F39+F40+F41+F42+F43</f>
        <v>1630</v>
      </c>
      <c r="G46" s="11"/>
      <c r="H46" s="426" t="s">
        <v>205</v>
      </c>
      <c r="I46" s="427"/>
      <c r="J46" s="26">
        <f>IF(ISNUMBER(C21), (0.75*I26+I30) * C21, 0)</f>
        <v>1877.2</v>
      </c>
    </row>
    <row r="47" spans="2:10" ht="15" thickBot="1" x14ac:dyDescent="0.35">
      <c r="B47" s="105" t="s">
        <v>353</v>
      </c>
      <c r="C47" s="26">
        <f>C42-C43-C44-C45-C46</f>
        <v>17995.091510718223</v>
      </c>
      <c r="D47" s="10"/>
      <c r="E47" s="104" t="s">
        <v>260</v>
      </c>
      <c r="F47" s="25">
        <f>F31+F32+F33+F19</f>
        <v>4280</v>
      </c>
      <c r="G47" s="11"/>
      <c r="H47" s="426" t="s">
        <v>262</v>
      </c>
      <c r="I47" s="427"/>
      <c r="J47" s="29">
        <f>J45-J46-'Demonstração de Resultados'!G22+'Demonstração de Resultados'!G23</f>
        <v>33953.800000000003</v>
      </c>
    </row>
    <row r="48" spans="2:10" ht="15" customHeight="1" thickBot="1" x14ac:dyDescent="0.35">
      <c r="B48" s="19" t="s">
        <v>276</v>
      </c>
      <c r="C48" s="24"/>
      <c r="D48" s="10"/>
      <c r="E48" s="104" t="s">
        <v>277</v>
      </c>
      <c r="F48" s="25">
        <f>F15+F45+F46+F47</f>
        <v>71910</v>
      </c>
      <c r="G48" s="442" t="s">
        <v>292</v>
      </c>
      <c r="H48" s="426" t="s">
        <v>288</v>
      </c>
      <c r="I48" s="427"/>
      <c r="J48" s="26">
        <f>I12+I35</f>
        <v>3736.7208321264925</v>
      </c>
    </row>
    <row r="49" spans="2:10" ht="14.4" customHeight="1" x14ac:dyDescent="0.3">
      <c r="B49" s="104" t="s">
        <v>277</v>
      </c>
      <c r="C49" s="25">
        <f>F15+C43+C44+C45+C46</f>
        <v>82004.908489281777</v>
      </c>
      <c r="D49" s="442" t="s">
        <v>292</v>
      </c>
      <c r="E49" s="104" t="s">
        <v>274</v>
      </c>
      <c r="F49" s="31">
        <f>F36/F48</f>
        <v>0.15018773466833543</v>
      </c>
      <c r="G49" s="443"/>
      <c r="H49" s="426" t="s">
        <v>264</v>
      </c>
      <c r="I49" s="427"/>
      <c r="J49" s="30">
        <f>J47-J48-'Demonstração de Resultados'!G27+'Demonstração de Resultados'!G26</f>
        <v>21793.079167873511</v>
      </c>
    </row>
    <row r="50" spans="2:10" ht="15" thickBot="1" x14ac:dyDescent="0.35">
      <c r="B50" s="105" t="s">
        <v>278</v>
      </c>
      <c r="C50" s="27">
        <f>C47/C49</f>
        <v>0.21943919994825944</v>
      </c>
      <c r="D50" s="443"/>
      <c r="E50" s="105" t="s">
        <v>352</v>
      </c>
      <c r="F50" s="26">
        <f>F36-(F39+F40+F41+F42+F43)-(F18*12)</f>
        <v>2956.6214248821307</v>
      </c>
      <c r="G50" s="443"/>
      <c r="H50" s="426" t="s">
        <v>285</v>
      </c>
      <c r="I50" s="427"/>
      <c r="J50" s="31">
        <f>J43/J42</f>
        <v>0.19593955021705781</v>
      </c>
    </row>
    <row r="51" spans="2:10" ht="15" thickBot="1" x14ac:dyDescent="0.35">
      <c r="B51" s="20" t="s">
        <v>320</v>
      </c>
      <c r="C51" s="28"/>
      <c r="D51" s="445"/>
      <c r="E51" s="20" t="s">
        <v>320</v>
      </c>
      <c r="F51" s="28"/>
      <c r="G51" s="444"/>
      <c r="H51" s="426" t="s">
        <v>265</v>
      </c>
      <c r="I51" s="427"/>
      <c r="J51" s="25">
        <f>J49*J50</f>
        <v>4270.1261299978678</v>
      </c>
    </row>
    <row r="52" spans="2:10" ht="15" thickBot="1" x14ac:dyDescent="0.35">
      <c r="B52" s="103" t="s">
        <v>266</v>
      </c>
      <c r="C52" s="29">
        <f>'Demonstração de Resultados'!G29</f>
        <v>30637</v>
      </c>
      <c r="D52" s="446"/>
      <c r="E52" s="103" t="s">
        <v>266</v>
      </c>
      <c r="F52" s="29">
        <f>'Demonstração de Resultados'!G29</f>
        <v>30637</v>
      </c>
      <c r="G52" s="21"/>
      <c r="H52" s="426" t="s">
        <v>289</v>
      </c>
      <c r="I52" s="427"/>
      <c r="J52" s="25">
        <f>'Demonstração de Resultados'!G31</f>
        <v>24634</v>
      </c>
    </row>
    <row r="53" spans="2:10" x14ac:dyDescent="0.3">
      <c r="B53" s="104" t="s">
        <v>267</v>
      </c>
      <c r="C53" s="25">
        <f>'Demonstração de Resultados'!G30</f>
        <v>6003</v>
      </c>
      <c r="D53" s="35"/>
      <c r="E53" s="104" t="s">
        <v>267</v>
      </c>
      <c r="F53" s="25">
        <f>'Demonstração de Resultados'!G30</f>
        <v>6003</v>
      </c>
      <c r="G53" s="21"/>
      <c r="H53" s="426" t="s">
        <v>286</v>
      </c>
      <c r="I53" s="427"/>
      <c r="J53" s="25">
        <f>J49-J51</f>
        <v>17522.953037875643</v>
      </c>
    </row>
    <row r="54" spans="2:10" ht="15" thickBot="1" x14ac:dyDescent="0.35">
      <c r="B54" s="105" t="s">
        <v>283</v>
      </c>
      <c r="C54" s="26">
        <f>'Demonstração de Resultados'!G21</f>
        <v>53703</v>
      </c>
      <c r="D54" s="35"/>
      <c r="E54" s="105" t="s">
        <v>283</v>
      </c>
      <c r="F54" s="26">
        <f>'Demonstração de Resultados'!G21</f>
        <v>53703</v>
      </c>
      <c r="G54" s="21"/>
      <c r="H54" s="501" t="s">
        <v>351</v>
      </c>
      <c r="I54" s="502"/>
      <c r="J54" s="32">
        <f>(-I34-I35-I30)-(J51-'Demonstração de Resultados'!G30)</f>
        <v>-6357.1261299978678</v>
      </c>
    </row>
    <row r="55" spans="2:10" ht="21.6" thickBot="1" x14ac:dyDescent="0.35">
      <c r="B55" s="103" t="s">
        <v>261</v>
      </c>
      <c r="C55" s="29">
        <f>C54+C42-C44-C46</f>
        <v>77310</v>
      </c>
      <c r="D55" s="21"/>
      <c r="E55" s="107" t="s">
        <v>261</v>
      </c>
      <c r="F55" s="29">
        <f>F54+F36-F46</f>
        <v>62873</v>
      </c>
      <c r="G55" s="11"/>
      <c r="H55" s="447" t="s">
        <v>367</v>
      </c>
      <c r="I55" s="448"/>
      <c r="J55" s="449"/>
    </row>
    <row r="56" spans="2:10" ht="15" customHeight="1" thickBot="1" x14ac:dyDescent="0.35">
      <c r="B56" s="105" t="s">
        <v>284</v>
      </c>
      <c r="C56" s="26">
        <f>IF(ISNUMBER(C21), (0.75*C26+C45) * C21, 0)</f>
        <v>1885.6000000000001</v>
      </c>
      <c r="D56" s="18"/>
      <c r="E56" s="105" t="s">
        <v>205</v>
      </c>
      <c r="F56" s="26">
        <f>IF(ISNUMBER(C21), (0.75*F26+F47) * C21, 0)</f>
        <v>1885.6000000000001</v>
      </c>
      <c r="G56" s="11"/>
      <c r="H56" s="234" t="s">
        <v>369</v>
      </c>
      <c r="I56" s="294">
        <v>1000</v>
      </c>
      <c r="J56" s="450"/>
    </row>
    <row r="57" spans="2:10" ht="14.4" customHeight="1" x14ac:dyDescent="0.3">
      <c r="B57" s="103" t="s">
        <v>262</v>
      </c>
      <c r="C57" s="29">
        <f>C55-C56-'Demonstração de Resultados'!G22+'Demonstração de Resultados'!G23</f>
        <v>60782.399999999994</v>
      </c>
      <c r="D57" s="440" t="s">
        <v>290</v>
      </c>
      <c r="E57" s="103" t="s">
        <v>262</v>
      </c>
      <c r="F57" s="29">
        <f>F55-F56-'Demonstração de Resultados'!G22+'Demonstração de Resultados'!G23</f>
        <v>46345.4</v>
      </c>
      <c r="G57" s="480" t="s">
        <v>290</v>
      </c>
      <c r="H57" s="236" t="s">
        <v>368</v>
      </c>
      <c r="I57" s="235">
        <f>I26/(I56*12)</f>
        <v>10</v>
      </c>
      <c r="J57" s="451"/>
    </row>
    <row r="58" spans="2:10" ht="15" thickBot="1" x14ac:dyDescent="0.35">
      <c r="B58" s="105" t="s">
        <v>288</v>
      </c>
      <c r="C58" s="26">
        <f>I12+C43</f>
        <v>4068.629321408268</v>
      </c>
      <c r="D58" s="441"/>
      <c r="E58" s="105" t="s">
        <v>288</v>
      </c>
      <c r="F58" s="26">
        <f>I12+F45</f>
        <v>3736.7208321264925</v>
      </c>
      <c r="G58" s="481"/>
      <c r="H58" s="458" t="s">
        <v>370</v>
      </c>
      <c r="I58" s="456" t="str">
        <f>IF(I57&lt;17.5,"O rácio indica que poderá ser considerada a hipótese em comprar o imóvel para a operação da empresa","⚠️ O rácio indica que poderá não compensar comprar o imóvel para uso próprio")</f>
        <v>O rácio indica que poderá ser considerada a hipótese em comprar o imóvel para a operação da empresa</v>
      </c>
      <c r="J58" s="457"/>
    </row>
    <row r="59" spans="2:10" ht="14.4" customHeight="1" x14ac:dyDescent="0.3">
      <c r="B59" s="108" t="s">
        <v>264</v>
      </c>
      <c r="C59" s="30">
        <f>C57-C58+'Demonstração de Resultados'!G26-'Demonstração de Resultados'!G27</f>
        <v>48289.770678591725</v>
      </c>
      <c r="D59" s="517" t="s">
        <v>291</v>
      </c>
      <c r="E59" s="108" t="s">
        <v>264</v>
      </c>
      <c r="F59" s="30">
        <f>F57-F58-'Demonstração de Resultados'!G27+'Demonstração de Resultados'!G26</f>
        <v>34184.67916787351</v>
      </c>
      <c r="G59" s="431" t="s">
        <v>291</v>
      </c>
      <c r="H59" s="458"/>
      <c r="I59" s="456"/>
      <c r="J59" s="457"/>
    </row>
    <row r="60" spans="2:10" ht="15" thickBot="1" x14ac:dyDescent="0.35">
      <c r="B60" s="104" t="s">
        <v>285</v>
      </c>
      <c r="C60" s="31">
        <f>C53/C52</f>
        <v>0.19593955021705781</v>
      </c>
      <c r="D60" s="518"/>
      <c r="E60" s="104" t="s">
        <v>285</v>
      </c>
      <c r="F60" s="31">
        <f>F53/F52</f>
        <v>0.19593955021705781</v>
      </c>
      <c r="G60" s="432"/>
      <c r="H60" s="105" t="s">
        <v>372</v>
      </c>
      <c r="I60" s="237">
        <f>I56*12+J54</f>
        <v>5642.8738700021322</v>
      </c>
      <c r="J60" s="238"/>
    </row>
    <row r="61" spans="2:10" ht="18.600000000000001" customHeight="1" x14ac:dyDescent="0.3">
      <c r="B61" s="104" t="s">
        <v>265</v>
      </c>
      <c r="C61" s="25">
        <f>C59*C60</f>
        <v>9461.8759468481294</v>
      </c>
      <c r="D61" s="518"/>
      <c r="E61" s="104" t="s">
        <v>265</v>
      </c>
      <c r="F61" s="25">
        <f>F59*F60</f>
        <v>6698.130660467561</v>
      </c>
      <c r="G61" s="432"/>
      <c r="H61" s="454" t="s">
        <v>317</v>
      </c>
      <c r="I61" s="452" t="s">
        <v>380</v>
      </c>
      <c r="J61" s="452"/>
    </row>
    <row r="62" spans="2:10" ht="24" customHeight="1" thickBot="1" x14ac:dyDescent="0.35">
      <c r="B62" s="104" t="s">
        <v>289</v>
      </c>
      <c r="C62" s="25">
        <f>'Demonstração de Resultados'!G31</f>
        <v>24634</v>
      </c>
      <c r="D62" s="518"/>
      <c r="E62" s="104" t="s">
        <v>289</v>
      </c>
      <c r="F62" s="25">
        <f>'Demonstração de Resultados'!G31</f>
        <v>24634</v>
      </c>
      <c r="G62" s="433"/>
      <c r="H62" s="455"/>
      <c r="I62" s="453"/>
      <c r="J62" s="453"/>
    </row>
    <row r="63" spans="2:10" ht="14.4" customHeight="1" x14ac:dyDescent="0.3">
      <c r="B63" s="104" t="s">
        <v>286</v>
      </c>
      <c r="C63" s="25">
        <f>C59-C61</f>
        <v>38827.894731743596</v>
      </c>
      <c r="D63" s="517" t="s">
        <v>295</v>
      </c>
      <c r="E63" s="104" t="s">
        <v>286</v>
      </c>
      <c r="F63" s="25">
        <f>F59-F61</f>
        <v>27486.548507405947</v>
      </c>
      <c r="G63" s="431" t="s">
        <v>295</v>
      </c>
      <c r="H63" s="455"/>
      <c r="I63" s="453"/>
      <c r="J63" s="453"/>
    </row>
    <row r="64" spans="2:10" ht="24" customHeight="1" thickBot="1" x14ac:dyDescent="0.35">
      <c r="B64" s="109" t="s">
        <v>287</v>
      </c>
      <c r="C64" s="32">
        <f>C63-C62</f>
        <v>14193.894731743596</v>
      </c>
      <c r="D64" s="519"/>
      <c r="E64" s="109" t="s">
        <v>287</v>
      </c>
      <c r="F64" s="32">
        <f>F63-F62</f>
        <v>2852.548507405947</v>
      </c>
      <c r="G64" s="433"/>
      <c r="H64" s="455"/>
      <c r="I64" s="453"/>
      <c r="J64" s="453"/>
    </row>
    <row r="65" spans="1:12" ht="24" customHeight="1" thickBot="1" x14ac:dyDescent="0.35">
      <c r="B65" s="109" t="s">
        <v>361</v>
      </c>
      <c r="C65" s="32">
        <f>C61-C53</f>
        <v>3458.8759468481294</v>
      </c>
      <c r="D65" s="520"/>
      <c r="E65" s="109" t="s">
        <v>361</v>
      </c>
      <c r="F65" s="32">
        <f>F61-F53</f>
        <v>695.13066046756103</v>
      </c>
      <c r="G65" s="527"/>
      <c r="H65" s="455"/>
      <c r="I65" s="453"/>
      <c r="J65" s="453"/>
    </row>
    <row r="66" spans="1:12" ht="15" thickBot="1" x14ac:dyDescent="0.35">
      <c r="B66" s="109" t="s">
        <v>355</v>
      </c>
      <c r="C66" s="157">
        <f>C64/C29</f>
        <v>0.10513996097587849</v>
      </c>
      <c r="D66" s="521"/>
      <c r="E66" s="109" t="s">
        <v>355</v>
      </c>
      <c r="F66" s="157">
        <f>F64/F29</f>
        <v>2.1129988943747756E-2</v>
      </c>
      <c r="G66" s="528"/>
      <c r="H66" s="455"/>
      <c r="I66" s="453"/>
      <c r="J66" s="453"/>
    </row>
    <row r="67" spans="1:12" ht="24" customHeight="1" thickBot="1" x14ac:dyDescent="0.35">
      <c r="B67" s="514"/>
      <c r="C67" s="515"/>
      <c r="D67" s="515"/>
      <c r="E67" s="515"/>
      <c r="F67" s="515"/>
      <c r="G67" s="516"/>
      <c r="H67" s="9"/>
      <c r="I67" s="297"/>
      <c r="J67" s="297"/>
    </row>
    <row r="68" spans="1:12" ht="34.200000000000003" thickBot="1" x14ac:dyDescent="0.7">
      <c r="B68" s="459" t="s">
        <v>296</v>
      </c>
      <c r="C68" s="460"/>
      <c r="D68" s="460"/>
      <c r="E68" s="460"/>
      <c r="F68" s="461"/>
      <c r="G68" s="287" t="s">
        <v>381</v>
      </c>
      <c r="H68" s="9" t="str">
        <f>IF(AND(C13=G68, G68=L10), "",
   IF(AND(C13&lt;&gt;G68, G68&lt;&gt;L10, C13&lt;&gt;L10), "⚠️ Incompatível entre C13, G68 e L10",
   IF(C13&lt;&gt;G68, "⚠️ Incompatível entre C13 e G68",
   IF(C13&lt;&gt;L10, "⚠️ Incompatível entre C13 e L10",
   IF(G68&lt;&gt;L10, "⚠️ Incompatível entre G68 e L10", "")))))</f>
        <v/>
      </c>
      <c r="I68" s="297"/>
      <c r="J68" s="297"/>
    </row>
    <row r="69" spans="1:12" ht="21.6" thickBot="1" x14ac:dyDescent="0.45">
      <c r="B69" s="139" t="s">
        <v>207</v>
      </c>
      <c r="C69" s="53" t="s">
        <v>213</v>
      </c>
      <c r="D69" s="54" t="s">
        <v>297</v>
      </c>
      <c r="E69" s="533" t="s">
        <v>215</v>
      </c>
      <c r="F69" s="534"/>
      <c r="G69" s="535"/>
      <c r="H69" s="9"/>
      <c r="I69" s="297"/>
      <c r="J69" s="297"/>
    </row>
    <row r="70" spans="1:12" s="43" customFormat="1" ht="52.8" customHeight="1" thickBot="1" x14ac:dyDescent="0.35">
      <c r="A70" s="247"/>
      <c r="B70" s="140" t="s">
        <v>208</v>
      </c>
      <c r="C70" s="42">
        <f>C4</f>
        <v>0.82496007596357201</v>
      </c>
      <c r="D70" s="41">
        <f>(Balanço!G17+'Investimento Imobiliário'!L11)/(Balanço!G57+'Investimento Imobiliário'!L17)</f>
        <v>4.5950334257063907E-2</v>
      </c>
      <c r="E70" s="467" t="str">
        <f>IF(OR(G68="Revenda", G68="Arrendamento", G68="Uso próprio (ex escritório)"),
   IF(D70&gt;C70,
       "A liquidez subiu com o investimento. ",
       "A liquidez desceu com o investimento. ") &amp;
   IF(D70&lt;1,
       "⚠️ Atenção que a liquidez após o investimento está abaixo do nível recomendado para uma operação segura. ",
       "✅ A empresa mantém uma margem de liquidez contabilística saudável. ") &amp;
   IF(C14="Classificação inválida (revenda sem CAE imobiliário)",
       "O imóvel não foi considerado inventário, o que distorce a análise contabilística visto ser uma revenda. ",
       "") &amp;
   IF(AND(C13="Revenda", C14="Inventário", C12="Sim", D70&gt;C70),
       "Apesar da liquidez subir contabilisticamente, a empresa tem menos dinheiro em caixa, o que pode limitar a capacidade de resposta no curto prazo. ",
       "") &amp;
   IF(G68="Uso próprio (ex escritório)",
       "Este imóvel foi adquirido para uso próprio e não gera receita direta.",
       ""),
"")</f>
        <v xml:space="preserve">A liquidez desceu com o investimento. ⚠️ Atenção que a liquidez após o investimento está abaixo do nível recomendado para uma operação segura. </v>
      </c>
      <c r="F70" s="468"/>
      <c r="G70" s="473"/>
      <c r="H70" s="512" t="s">
        <v>371</v>
      </c>
      <c r="I70" s="513"/>
      <c r="J70" s="239" t="str">
        <f>G68</f>
        <v>Arrendamento</v>
      </c>
    </row>
    <row r="71" spans="1:12" ht="35.4" customHeight="1" x14ac:dyDescent="0.3">
      <c r="B71" s="140" t="s">
        <v>209</v>
      </c>
      <c r="C71" s="48">
        <f>C5</f>
        <v>0.38536672346158418</v>
      </c>
      <c r="D71" s="41">
        <f>(Balanço!G47+'Investimento Imobiliário'!L26)/(Balanço!G30+L11+L20)</f>
        <v>0.33837797501532835</v>
      </c>
      <c r="E71" s="467" t="str">
        <f>IF(D71&gt;C71,
   IF(D71&gt;=0.3333,
      "✅ A independência financeira da empresa melhorou e está sólida. A empresa está menos dependente de dívida.",
      "⚠️ A independência financeira da empresa melhorou, mas continua fraca. É importante reforçar os capitais próprios."),
IF(D71&lt;C71,
   IF(D71&gt;=0.3333,
      "A empresa tornou-se mais dependente de terceiros (bancos), mas ainda está aceitável. Atenção ao aumento do peso da dívida.",
      "⚠️ A dependência da empresa face a dívida externa foi para um nível crítico. A empresa está demasiado dependente de financiamento externo."),
"A indepedência financeira da empresa manteve-se igual após o investimento."))</f>
        <v>A empresa tornou-se mais dependente de terceiros (bancos), mas ainda está aceitável. Atenção ao aumento do peso da dívida.</v>
      </c>
      <c r="F71" s="468"/>
      <c r="G71" s="469"/>
      <c r="H71" s="526" t="s">
        <v>373</v>
      </c>
      <c r="I71" s="242" t="s">
        <v>374</v>
      </c>
      <c r="J71" s="290">
        <v>0.03</v>
      </c>
    </row>
    <row r="72" spans="1:12" ht="35.4" customHeight="1" x14ac:dyDescent="0.3">
      <c r="B72" s="140" t="s">
        <v>210</v>
      </c>
      <c r="C72" s="48">
        <f>C6</f>
        <v>0.21107740818809659</v>
      </c>
      <c r="D72" s="41">
        <f>IF(G68="Revenda", C63 / (Balanço!G47 + 'Investimento Imobiliário'!L27),
 IF(G68="Arrendamento", F63 / (Balanço!G47 + 'Investimento Imobiliário'!L27),
 IF(G68="Uso próprio (ex escritório)", J53 / (Balanço!G47),
 0)))</f>
        <v>0.22990031955517859</v>
      </c>
      <c r="E72" s="470" t="str">
        <f>IF(D72&gt;C72,
   IF(D72&gt;=0.15,
      "✅ O ROE subiu e está num bom nível. O investimento gerou rentabilidade sobre os capitais próprios.",
   IF(D72&gt;=0.05,
      "⚠️ O ROE subiu, mas continua fraco. É preciso aumentar a rentabilidade.",
      "⚠️ O ROE subiu, mas continua muito baixo. A empresa quase não está a gerar retorno.")),
IF(D72&lt;C72,
   IF(D72&gt;=0.15,
      "O ROE desceu, o que significa que o investimento não gera retorno. ROE continua num bom nível.",
   IF(D72&gt;=0.05,
      "⚠️ O ROE desceu e está fraco, o que significa que o investimento não gera retorno. A rentabilidade do capital próprio piorou.",
      "⚠️ O ROE desceu para um nível muito baixo, o que significa que o investimento não gera retorno. A empresa não está a gerar retorno para os sócios.")),
"O ROE manteve-se estável após o investimento."))</f>
        <v>✅ O ROE subiu e está num bom nível. O investimento gerou rentabilidade sobre os capitais próprios.</v>
      </c>
      <c r="F72" s="471"/>
      <c r="G72" s="472"/>
      <c r="H72" s="458"/>
      <c r="I72" s="243" t="s">
        <v>375</v>
      </c>
      <c r="J72" s="240">
        <f>IF(G68="Arrendamento", NPV(J71,F64), IF(G68="Uso próprio (ex escritório)", NPV(J71,I60), "Não se aplica"))</f>
        <v>2769.4645702970361</v>
      </c>
    </row>
    <row r="73" spans="1:12" ht="35.4" customHeight="1" x14ac:dyDescent="0.3">
      <c r="B73" s="140" t="s">
        <v>211</v>
      </c>
      <c r="C73" s="49">
        <f>C7</f>
        <v>4.6368708452041787</v>
      </c>
      <c r="D73" s="50">
        <f>IF(G68="Revenda",
   (C57 + 'Demonstração de Resultados'!G26) / ('Demonstração de Resultados'!G27 + 'Investimento Imobiliário'!L28),
 IF(G68="Arrendamento",
   (F57 + 'Demonstração de Resultados'!G26) / ('Demonstração de Resultados'!G27 + 'Investimento Imobiliário'!L28),
 IF(G68="Uso próprio (ex escritório)",
   (J47 + 'Demonstração de Resultados'!G26) / ('Demonstração de Resultados'!G27 + 'Investimento Imobiliário'!L28),
 0)))</f>
        <v>3.8110734256446035</v>
      </c>
      <c r="E73" s="529" t="str">
        <f>IF(D73&gt;C73,
   IF(D73&gt;=3,
      "✅ A capacidade de gerar rendimentos para garantir encargos financeiros (ex pagamento de juros) melhorou e está sólida. A empresa gera bons resultados face à dívida.",
   IF(D73&gt;=1.5,
      "⚠️ A capacidade de gerar rendimentos para garantir encargos financeiros (ex pagamento de juros) melhorou, mas continua fraca. Há risco de não conseguir suportar os encargos com facilidade.",
      "⚠️ A capacidade de gerar rendimentos para garantir encargos financeiros (ex pagamento de juros) melhorou, mas continua muito fraca. Precisa de reforçar a margem financeira.")),
IF(D73&lt;C73,
   IF(D73&gt;=1.5,
      "A capacidade de gerar rendimentos para garantir encargos financeiros (ex pagamento de juros) piorou, mas mantém-se dentro de limites aceitáveis.",
   IF(D73&gt;=1,
      "⚠️ A capacidade de gerar rendimentos para garantir encargos financeiros (ex pagamento de juros) piorou e está fraca. A empresa poderá ter dificuldades para pagar os encargos.",
      "⚠️ A empresa não gera resultados suficientes para cobrir os encargos financeiros (ex pagamentos de juros). Risco elevado.")),
"A capacidade de gerar rendimentos para garantir encargos financeiros (ex pagamento de juros) manteve-se estável após o investimento."))</f>
        <v>A capacidade de gerar rendimentos para garantir encargos financeiros (ex pagamento de juros) piorou, mas mantém-se dentro de limites aceitáveis.</v>
      </c>
      <c r="F73" s="530"/>
      <c r="G73" s="530"/>
      <c r="H73" s="458" t="s">
        <v>376</v>
      </c>
      <c r="I73" s="243" t="s">
        <v>377</v>
      </c>
      <c r="J73" s="291">
        <v>0.04</v>
      </c>
    </row>
    <row r="74" spans="1:12" ht="36" customHeight="1" thickBot="1" x14ac:dyDescent="0.35">
      <c r="B74" s="141" t="s">
        <v>212</v>
      </c>
      <c r="C74" s="51">
        <f>C8</f>
        <v>0.61463327653841582</v>
      </c>
      <c r="D74" s="52">
        <f>(Balanço!G68+'Investimento Imobiliário'!L24+'Investimento Imobiliário'!L17)/(Balanço!G30+'Investimento Imobiliário'!L11+'Investimento Imobiliário'!L20)</f>
        <v>0.73267453403724836</v>
      </c>
      <c r="E74" s="531" t="str">
        <f>IF(D74&lt;C74,
   IF(D74&lt;=0.5,
      "✅ O endividamento (proporção da dívida face aos nossos ativos) desceu e está num nível saudável. A empresa tem boa independência financeira.",
   IF(D74&lt;=0.66,
      "O endividamento (proporção da dívida face aos nossos ativos) desceu, mas ainda está num nível que exige alguma atenção.",
      "⚠️ O endividamento (proporção da dívida face aos nossos ativos) desceu, mas continua elevado. É importante reduzir a dependência de dívida.")),
IF(D74&gt;C74,
   IF(D74&lt;=0.66,
      "O endividamento (proporção da dívida face aos nossos ativos) aumentou, mas mantém-se num nível aceitável. Monitorizar evolução.",
      "⚠️ O endividamento (proporção da dívida face aos nossos ativos) aumentou e está num nível de risco. A empresa está demasiado alavancada."),
"O nível de endividamento (proporção da dívida face aos nossos ativos) manteve-se estável após o investimento."))</f>
        <v>⚠️ O endividamento (proporção da dívida face aos nossos ativos) aumentou e está num nível de risco. A empresa está demasiado alavancada.</v>
      </c>
      <c r="F74" s="532"/>
      <c r="G74" s="532"/>
      <c r="H74" s="458"/>
      <c r="I74" s="243" t="s">
        <v>378</v>
      </c>
      <c r="J74" s="292">
        <v>5</v>
      </c>
    </row>
    <row r="75" spans="1:12" ht="36" customHeight="1" thickBot="1" x14ac:dyDescent="0.35">
      <c r="B75" s="142" t="s">
        <v>215</v>
      </c>
      <c r="C75" s="524" t="str">
        <f>IF(AND(D70&gt;=1,D73&gt;=1.5,D74&lt;=0.66,D72&gt;=0.05,D72&gt;=C72),
   "✅ A situação financeira após o investimento é sólida. Todos os indicadores estão dentro dos níveis recomendados e o investimento gerou rentabilidade.",
"❌ O investimento levanta preocupações relevantes: " &amp;
IF(D70&lt;1,"Liquidez insuficiente (LG). ","") &amp;
IF(D73&lt;1.5,"Cobertura fraca dos encargos (RCGF). ","") &amp;
IF(D74&gt;0.66,"Endividamento excessivo (RE). ","") &amp;
IF(D72&lt;0.05,"Rentabilidade insuficiente (ROE). ","") &amp;
IF(D72&lt;C72,"O investimento reduziu o retorno sobre o capital próprio (ROE). ",""))</f>
        <v xml:space="preserve">❌ O investimento levanta preocupações relevantes: Liquidez insuficiente (LG). Endividamento excessivo (RE). </v>
      </c>
      <c r="D75" s="525"/>
      <c r="E75" s="525"/>
      <c r="F75" s="525"/>
      <c r="G75" s="525"/>
      <c r="H75" s="104"/>
      <c r="I75" s="248" t="s">
        <v>379</v>
      </c>
      <c r="J75" s="249">
        <f>IF(G68="Arrendamento", -FV(J73,J74,F64,F26), IF(G68="Uso próprio (ex escritório)", -FV(J73,J74,I60,F26), "Não se aplica"))</f>
        <v>161448.67112215722</v>
      </c>
    </row>
    <row r="76" spans="1:12" ht="36" customHeight="1" thickBot="1" x14ac:dyDescent="0.35">
      <c r="B76" s="142" t="s">
        <v>317</v>
      </c>
      <c r="C76" s="522"/>
      <c r="D76" s="523"/>
      <c r="E76" s="523"/>
      <c r="F76" s="523"/>
      <c r="G76" s="523"/>
      <c r="H76" s="293" t="s">
        <v>317</v>
      </c>
      <c r="I76" s="510"/>
      <c r="J76" s="511"/>
      <c r="L76" s="241"/>
    </row>
  </sheetData>
  <sheetProtection algorithmName="SHA-512" hashValue="oT6EbCVLNZrX37Wjaif1oTalxMr5EZ3z76S79sbgnR6bbMZjvkHGohzKqMivkUFZ1/9TUAnrk2rgoRjvOaMhQQ==" saltValue="VOXVPaTHCwliv5VDCBwZ6w==" spinCount="100000" sheet="1" objects="1" scenarios="1" selectLockedCells="1"/>
  <mergeCells count="75">
    <mergeCell ref="H9:J9"/>
    <mergeCell ref="H8:J8"/>
    <mergeCell ref="H3:J3"/>
    <mergeCell ref="H4:J4"/>
    <mergeCell ref="H5:J5"/>
    <mergeCell ref="H6:J6"/>
    <mergeCell ref="H7:J7"/>
    <mergeCell ref="I76:J76"/>
    <mergeCell ref="H70:I70"/>
    <mergeCell ref="B67:G67"/>
    <mergeCell ref="D59:D62"/>
    <mergeCell ref="D63:D64"/>
    <mergeCell ref="G63:G64"/>
    <mergeCell ref="D65:D66"/>
    <mergeCell ref="C76:G76"/>
    <mergeCell ref="C75:G75"/>
    <mergeCell ref="B68:F68"/>
    <mergeCell ref="H73:H74"/>
    <mergeCell ref="H71:H72"/>
    <mergeCell ref="G65:G66"/>
    <mergeCell ref="E73:G73"/>
    <mergeCell ref="E74:G74"/>
    <mergeCell ref="E69:G69"/>
    <mergeCell ref="H10:J10"/>
    <mergeCell ref="H53:I53"/>
    <mergeCell ref="H54:I54"/>
    <mergeCell ref="H48:I48"/>
    <mergeCell ref="H49:I49"/>
    <mergeCell ref="H50:I50"/>
    <mergeCell ref="H51:I51"/>
    <mergeCell ref="H52:I52"/>
    <mergeCell ref="H45:I45"/>
    <mergeCell ref="H46:I46"/>
    <mergeCell ref="J25:J33"/>
    <mergeCell ref="H24:I24"/>
    <mergeCell ref="B22:J22"/>
    <mergeCell ref="H42:I42"/>
    <mergeCell ref="H23:J23"/>
    <mergeCell ref="H47:I47"/>
    <mergeCell ref="E71:G71"/>
    <mergeCell ref="E72:G72"/>
    <mergeCell ref="E70:G70"/>
    <mergeCell ref="E7:G7"/>
    <mergeCell ref="E8:G8"/>
    <mergeCell ref="C9:G9"/>
    <mergeCell ref="B10:E10"/>
    <mergeCell ref="G57:G58"/>
    <mergeCell ref="B23:D23"/>
    <mergeCell ref="E23:G23"/>
    <mergeCell ref="B11:G11"/>
    <mergeCell ref="B15:B16"/>
    <mergeCell ref="C15:D16"/>
    <mergeCell ref="E12:F12"/>
    <mergeCell ref="G13:G21"/>
    <mergeCell ref="C14:D14"/>
    <mergeCell ref="B2:G2"/>
    <mergeCell ref="E3:G3"/>
    <mergeCell ref="E4:G4"/>
    <mergeCell ref="E5:G5"/>
    <mergeCell ref="E6:G6"/>
    <mergeCell ref="H43:I43"/>
    <mergeCell ref="H44:I44"/>
    <mergeCell ref="G38:G43"/>
    <mergeCell ref="G59:G62"/>
    <mergeCell ref="D34:D40"/>
    <mergeCell ref="G31:G37"/>
    <mergeCell ref="D57:D58"/>
    <mergeCell ref="G48:G51"/>
    <mergeCell ref="D49:D52"/>
    <mergeCell ref="H55:J55"/>
    <mergeCell ref="J56:J57"/>
    <mergeCell ref="I61:J66"/>
    <mergeCell ref="H61:H66"/>
    <mergeCell ref="I58:J59"/>
    <mergeCell ref="H58:H59"/>
  </mergeCells>
  <conditionalFormatting sqref="C50">
    <cfRule type="cellIs" dxfId="27" priority="30" operator="lessThan">
      <formula>0</formula>
    </cfRule>
  </conditionalFormatting>
  <conditionalFormatting sqref="C14:C15">
    <cfRule type="containsText" dxfId="26" priority="32" operator="containsText" text="Classificação">
      <formula>NOT(ISERROR(SEARCH("Classificação",C14)))</formula>
    </cfRule>
  </conditionalFormatting>
  <conditionalFormatting sqref="E4:E8 E71:E72 E74">
    <cfRule type="containsText" dxfId="25" priority="33" operator="containsText" text="▼">
      <formula>NOT(ISERROR(SEARCH("▼",E4)))</formula>
    </cfRule>
    <cfRule type="containsText" dxfId="24" priority="34" operator="containsText" text="▲">
      <formula>NOT(ISERROR(SEARCH("▲",E4)))</formula>
    </cfRule>
  </conditionalFormatting>
  <conditionalFormatting sqref="F49:F50">
    <cfRule type="cellIs" dxfId="23" priority="31" operator="lessThan">
      <formula>0</formula>
    </cfRule>
  </conditionalFormatting>
  <conditionalFormatting sqref="L10">
    <cfRule type="expression" dxfId="22" priority="27">
      <formula>L10&lt;&gt;G68</formula>
    </cfRule>
  </conditionalFormatting>
  <conditionalFormatting sqref="M10">
    <cfRule type="containsText" dxfId="21" priority="26" operator="containsText" text="⚠️">
      <formula>NOT(ISERROR(SEARCH("⚠️",M10)))</formula>
    </cfRule>
  </conditionalFormatting>
  <conditionalFormatting sqref="H68">
    <cfRule type="containsText" dxfId="20" priority="24" operator="containsText" text="⚠️">
      <formula>NOT(ISERROR(SEARCH("⚠️",H68)))</formula>
    </cfRule>
  </conditionalFormatting>
  <conditionalFormatting sqref="C13">
    <cfRule type="expression" dxfId="19" priority="22">
      <formula>AND(C13&lt;&gt;"Uso próprio (ex escritório)", C13&lt;&gt;G68)</formula>
    </cfRule>
  </conditionalFormatting>
  <conditionalFormatting sqref="D13">
    <cfRule type="containsText" dxfId="18" priority="21" operator="containsText" text="⚠️">
      <formula>NOT(ISERROR(SEARCH("⚠️",D13)))</formula>
    </cfRule>
  </conditionalFormatting>
  <conditionalFormatting sqref="E70:G70">
    <cfRule type="containsText" dxfId="17" priority="18" operator="containsText" text="Apesar da liquidez subir contabilisticamente, a empresa tem menos dinheiro em caixa, o que pode limitar a capacidade de resposta no curto prazo.">
      <formula>NOT(ISERROR(SEARCH("Apesar da liquidez subir contabilisticamente, a empresa tem menos dinheiro em caixa, o que pode limitar a capacidade de resposta no curto prazo.",E70)))</formula>
    </cfRule>
    <cfRule type="containsText" dxfId="16" priority="19" operator="containsText" text="✅">
      <formula>NOT(ISERROR(SEARCH("✅",E70)))</formula>
    </cfRule>
    <cfRule type="containsText" dxfId="15" priority="20" operator="containsText" text="⚠️">
      <formula>NOT(ISERROR(SEARCH("⚠️",E70)))</formula>
    </cfRule>
  </conditionalFormatting>
  <conditionalFormatting sqref="E71:G71">
    <cfRule type="containsText" dxfId="14" priority="15" operator="containsText" text="A empresa tornou-se mais dependente de terceiros (bancos), mas ainda está aceitável. Atenção ao aumento do peso da dívida">
      <formula>NOT(ISERROR(SEARCH("A empresa tornou-se mais dependente de terceiros (bancos), mas ainda está aceitável. Atenção ao aumento do peso da dívida",E71)))</formula>
    </cfRule>
    <cfRule type="containsText" dxfId="13" priority="16" operator="containsText" text="⚠️">
      <formula>NOT(ISERROR(SEARCH("⚠️",E71)))</formula>
    </cfRule>
    <cfRule type="containsText" dxfId="12" priority="17" operator="containsText" text="✅">
      <formula>NOT(ISERROR(SEARCH("✅",E71)))</formula>
    </cfRule>
  </conditionalFormatting>
  <conditionalFormatting sqref="E72:G72">
    <cfRule type="expression" dxfId="11" priority="9">
      <formula>AND(NOT(ISNUMBER(SEARCH("⚠️",E72))),NOT(ISNUMBER(SEARCH("✅",E72))))</formula>
    </cfRule>
    <cfRule type="containsText" dxfId="10" priority="13" operator="containsText" text="⚠️">
      <formula>NOT(ISERROR(SEARCH("⚠️",E72)))</formula>
    </cfRule>
    <cfRule type="containsText" dxfId="9" priority="14" operator="containsText" text="✅">
      <formula>NOT(ISERROR(SEARCH("✅",E72)))</formula>
    </cfRule>
  </conditionalFormatting>
  <conditionalFormatting sqref="E73:G73">
    <cfRule type="containsText" dxfId="8" priority="6" operator="containsText" text="A capacidade de gerar rendimentos para garantir encargos financeiros (ex pagamento de juros) piorou, mas mantém-se dentro de limites aceitáveis.">
      <formula>NOT(ISERROR(SEARCH("A capacidade de gerar rendimentos para garantir encargos financeiros (ex pagamento de juros) piorou, mas mantém-se dentro de limites aceitáveis.",E73)))</formula>
    </cfRule>
    <cfRule type="containsText" dxfId="7" priority="7" operator="containsText" text="✅">
      <formula>NOT(ISERROR(SEARCH("✅",E73)))</formula>
    </cfRule>
    <cfRule type="containsText" dxfId="6" priority="8" operator="containsText" text="⚠️">
      <formula>NOT(ISERROR(SEARCH("⚠️",E73)))</formula>
    </cfRule>
  </conditionalFormatting>
  <conditionalFormatting sqref="E74:G74">
    <cfRule type="expression" dxfId="5" priority="3">
      <formula>AND(NOT(ISNUMBER(SEARCH("⚠️",E74))),NOT(ISNUMBER(SEARCH("✅",E74))))</formula>
    </cfRule>
    <cfRule type="containsText" dxfId="4" priority="4" operator="containsText" text="⚠️">
      <formula>NOT(ISERROR(SEARCH("⚠️",E74)))</formula>
    </cfRule>
    <cfRule type="containsText" dxfId="3" priority="5" operator="containsText" text="✅">
      <formula>NOT(ISERROR(SEARCH("✅",E74)))</formula>
    </cfRule>
  </conditionalFormatting>
  <conditionalFormatting sqref="G68">
    <cfRule type="expression" dxfId="2" priority="37">
      <formula>OR(AND(C13&lt;&gt;"Uso próprio (ex escritório)", C13&lt;&gt;G68), L10&lt;&gt;G68)</formula>
    </cfRule>
  </conditionalFormatting>
  <conditionalFormatting sqref="I58:J59">
    <cfRule type="containsText" dxfId="1" priority="2" operator="containsText" text="⚠️">
      <formula>NOT(ISERROR(SEARCH("⚠️",I58)))</formula>
    </cfRule>
  </conditionalFormatting>
  <conditionalFormatting sqref="I60">
    <cfRule type="cellIs" dxfId="0" priority="1" operator="lessThan">
      <formula>0</formula>
    </cfRule>
  </conditionalFormatting>
  <dataValidations count="6">
    <dataValidation type="list" allowBlank="1" showInputMessage="1" showErrorMessage="1" sqref="C12 G12" xr:uid="{4AF018CC-0CA6-470B-8A4E-1E78B5F783B2}">
      <formula1>"Sim, Não"</formula1>
    </dataValidation>
    <dataValidation type="list" allowBlank="1" showInputMessage="1" showErrorMessage="1" sqref="C13 L10 G68" xr:uid="{EA438F65-EA99-43B6-AE48-217C260A9B14}">
      <formula1>"Revenda, Arrendamento, Uso próprio (ex escritório)"</formula1>
    </dataValidation>
    <dataValidation type="list" allowBlank="1" showInputMessage="1" showErrorMessage="1" sqref="C17" xr:uid="{65EF5872-3089-40D7-87FC-835F507BC52C}">
      <formula1>"Habitacional ou comercial, Industrial, Terreno"</formula1>
    </dataValidation>
    <dataValidation type="list" allowBlank="1" showInputMessage="1" showErrorMessage="1" sqref="C18" xr:uid="{3A8465F3-D59E-4249-93CF-18D48FD469CF}">
      <formula1>"Modelo do custo, Modelo do justo valor"</formula1>
    </dataValidation>
    <dataValidation type="list" allowBlank="1" showInputMessage="1" showErrorMessage="1" sqref="C25 F25" xr:uid="{5C317B13-F766-4312-8050-C790035D5AFE}">
      <formula1>"Habitação, Comercial, Industrial, Terreno"</formula1>
    </dataValidation>
    <dataValidation type="list" allowBlank="1" showInputMessage="1" showErrorMessage="1" sqref="I25" xr:uid="{B4F7542A-2360-404B-882F-3067309724E1}">
      <formula1>"Escritório, Armazém, Outro"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E64D1-CBFA-4362-975B-3A23D9D3BCC4}">
  <sheetPr codeName="Folha6">
    <tabColor theme="8" tint="-0.499984740745262"/>
  </sheetPr>
  <dimension ref="B2:AI53"/>
  <sheetViews>
    <sheetView showWhiteSpace="0" view="pageBreakPreview" zoomScale="40" zoomScaleNormal="100" zoomScaleSheetLayoutView="40" zoomScalePageLayoutView="40" workbookViewId="0">
      <selection activeCell="A31" sqref="A30:A31"/>
    </sheetView>
  </sheetViews>
  <sheetFormatPr defaultRowHeight="16.2" x14ac:dyDescent="0.4"/>
  <cols>
    <col min="1" max="1" width="29.109375" style="143" customWidth="1"/>
    <col min="2" max="2" width="33.88671875" style="143" customWidth="1"/>
    <col min="3" max="3" width="25.44140625" style="143" customWidth="1"/>
    <col min="4" max="4" width="15.5546875" style="143" customWidth="1"/>
    <col min="5" max="5" width="26.109375" style="143" customWidth="1"/>
    <col min="6" max="6" width="0.6640625" style="143" customWidth="1"/>
    <col min="7" max="7" width="26.109375" style="143" customWidth="1"/>
    <col min="8" max="8" width="11.44140625" style="143" customWidth="1"/>
    <col min="9" max="9" width="6.21875" style="143" customWidth="1"/>
    <col min="10" max="12" width="8.88671875" style="143"/>
    <col min="13" max="13" width="28.6640625" style="143" customWidth="1"/>
    <col min="14" max="14" width="1" style="143" customWidth="1"/>
    <col min="15" max="15" width="35.88671875" style="145" customWidth="1"/>
    <col min="16" max="16" width="11.88671875" style="145" customWidth="1"/>
    <col min="17" max="17" width="8.109375" style="145" customWidth="1"/>
    <col min="18" max="18" width="7.21875" style="145" customWidth="1"/>
    <col min="19" max="19" width="15.77734375" style="145" customWidth="1"/>
    <col min="20" max="20" width="18.88671875" style="145" customWidth="1"/>
    <col min="21" max="21" width="1" style="145" customWidth="1"/>
    <col min="22" max="22" width="35.33203125" style="145" customWidth="1"/>
    <col min="23" max="23" width="18.44140625" style="145" customWidth="1"/>
    <col min="24" max="24" width="38.44140625" style="143" customWidth="1"/>
    <col min="25" max="25" width="6.109375" style="143" customWidth="1"/>
    <col min="26" max="26" width="0.77734375" style="143" customWidth="1"/>
    <col min="27" max="27" width="52.6640625" style="143" customWidth="1"/>
    <col min="28" max="28" width="14.44140625" style="143" customWidth="1"/>
    <col min="29" max="29" width="15.21875" style="143" customWidth="1"/>
    <col min="30" max="30" width="19" style="143" customWidth="1"/>
    <col min="31" max="31" width="14.5546875" style="143" customWidth="1"/>
    <col min="32" max="16384" width="8.88671875" style="143"/>
  </cols>
  <sheetData>
    <row r="2" spans="2:35" ht="21.6" customHeight="1" x14ac:dyDescent="0.55000000000000004">
      <c r="B2" s="175"/>
      <c r="C2" s="175"/>
      <c r="D2" s="175"/>
      <c r="E2" s="175"/>
      <c r="F2" s="175"/>
      <c r="G2" s="543" t="s">
        <v>339</v>
      </c>
      <c r="H2" s="543"/>
      <c r="I2" s="543"/>
      <c r="J2" s="543"/>
      <c r="K2" s="543"/>
      <c r="L2" s="543"/>
      <c r="M2" s="543"/>
      <c r="N2" s="176"/>
      <c r="O2" s="543" t="s">
        <v>216</v>
      </c>
      <c r="P2" s="543"/>
      <c r="Q2" s="543"/>
      <c r="R2" s="543"/>
      <c r="S2" s="543"/>
      <c r="T2" s="543"/>
      <c r="U2" s="176"/>
      <c r="V2" s="543" t="s">
        <v>343</v>
      </c>
      <c r="W2" s="543"/>
      <c r="X2" s="543"/>
      <c r="Y2" s="543"/>
      <c r="Z2" s="176"/>
      <c r="AA2" s="567" t="s">
        <v>362</v>
      </c>
      <c r="AB2" s="567"/>
      <c r="AC2" s="567"/>
      <c r="AD2" s="567"/>
      <c r="AE2" s="177"/>
      <c r="AF2" s="178"/>
      <c r="AG2" s="178"/>
      <c r="AH2" s="178"/>
      <c r="AI2" s="178"/>
    </row>
    <row r="3" spans="2:35" ht="22.2" customHeight="1" thickBot="1" x14ac:dyDescent="0.6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9"/>
      <c r="P3" s="179"/>
      <c r="Q3" s="179"/>
      <c r="R3" s="179"/>
      <c r="S3" s="179"/>
      <c r="T3" s="179"/>
      <c r="U3" s="179"/>
      <c r="V3" s="180"/>
      <c r="W3" s="180"/>
      <c r="X3" s="175"/>
      <c r="Y3" s="175"/>
      <c r="Z3" s="175"/>
      <c r="AA3" s="567"/>
      <c r="AB3" s="567"/>
      <c r="AC3" s="567"/>
      <c r="AD3" s="567"/>
      <c r="AE3" s="177"/>
      <c r="AF3" s="178"/>
      <c r="AG3" s="178"/>
      <c r="AH3" s="178"/>
      <c r="AI3" s="178"/>
    </row>
    <row r="4" spans="2:35" ht="21.6" customHeight="1" thickBot="1" x14ac:dyDescent="0.55000000000000004">
      <c r="B4" s="543" t="s">
        <v>322</v>
      </c>
      <c r="C4" s="543"/>
      <c r="D4" s="543"/>
      <c r="E4" s="543"/>
      <c r="F4" s="176"/>
      <c r="G4" s="175"/>
      <c r="H4" s="175"/>
      <c r="I4" s="181"/>
      <c r="J4" s="568" t="str">
        <f>Performance!F4</f>
        <v>► A rentabilidade para os sócios manteve-se estável.</v>
      </c>
      <c r="K4" s="568"/>
      <c r="L4" s="568"/>
      <c r="M4" s="568"/>
      <c r="N4" s="182"/>
      <c r="O4" s="180"/>
      <c r="P4" s="180"/>
      <c r="Q4" s="180"/>
      <c r="R4" s="180"/>
      <c r="S4" s="180"/>
      <c r="T4" s="180"/>
      <c r="U4" s="180"/>
      <c r="V4" s="183" t="s">
        <v>346</v>
      </c>
      <c r="W4" s="183"/>
      <c r="X4" s="144" t="str">
        <f>'Investimento Imobiliário'!C13</f>
        <v>Arrendamento</v>
      </c>
      <c r="Y4" s="175"/>
      <c r="Z4" s="175"/>
      <c r="AA4" s="175"/>
      <c r="AB4" s="175"/>
      <c r="AC4" s="175"/>
      <c r="AD4" s="175"/>
      <c r="AE4" s="175"/>
      <c r="AF4" s="175"/>
      <c r="AG4" s="175"/>
      <c r="AH4" s="175"/>
      <c r="AI4" s="175"/>
    </row>
    <row r="5" spans="2:35" ht="16.8" thickBot="1" x14ac:dyDescent="0.45">
      <c r="B5" s="175"/>
      <c r="C5" s="175"/>
      <c r="D5" s="175"/>
      <c r="E5" s="175"/>
      <c r="F5" s="175"/>
      <c r="G5" s="184" t="s">
        <v>190</v>
      </c>
      <c r="H5" s="185">
        <f>Performance!D4</f>
        <v>0.21107740818809659</v>
      </c>
      <c r="I5" s="181"/>
      <c r="J5" s="568"/>
      <c r="K5" s="568"/>
      <c r="L5" s="568"/>
      <c r="M5" s="568"/>
      <c r="N5" s="182"/>
      <c r="O5" s="186" t="s">
        <v>208</v>
      </c>
      <c r="P5" s="187">
        <f>'Investimento Imobiliário'!C4</f>
        <v>0.82496007596357201</v>
      </c>
      <c r="Q5" s="180"/>
      <c r="R5" s="180"/>
      <c r="S5" s="180" t="s">
        <v>214</v>
      </c>
      <c r="T5" s="188">
        <v>1.5</v>
      </c>
      <c r="U5" s="189"/>
      <c r="V5" s="190"/>
      <c r="W5" s="190"/>
      <c r="X5" s="175"/>
      <c r="Y5" s="175"/>
      <c r="Z5" s="175"/>
      <c r="AA5" s="175"/>
      <c r="AB5" s="175" t="s">
        <v>364</v>
      </c>
      <c r="AC5" s="175"/>
      <c r="AD5" s="175" t="s">
        <v>365</v>
      </c>
      <c r="AE5" s="175"/>
      <c r="AF5" s="175"/>
      <c r="AG5" s="175"/>
      <c r="AH5" s="175"/>
      <c r="AI5" s="175"/>
    </row>
    <row r="6" spans="2:35" ht="16.8" customHeight="1" thickBot="1" x14ac:dyDescent="0.45">
      <c r="B6" s="175"/>
      <c r="C6" s="175"/>
      <c r="D6" s="175"/>
      <c r="E6" s="175"/>
      <c r="F6" s="175"/>
      <c r="G6" s="184"/>
      <c r="H6" s="191"/>
      <c r="I6" s="181"/>
      <c r="J6" s="568"/>
      <c r="K6" s="568"/>
      <c r="L6" s="568"/>
      <c r="M6" s="568"/>
      <c r="N6" s="182"/>
      <c r="O6" s="192"/>
      <c r="P6" s="193"/>
      <c r="Q6" s="189"/>
      <c r="R6" s="189"/>
      <c r="S6" s="190"/>
      <c r="T6" s="190"/>
      <c r="U6" s="190"/>
      <c r="V6" s="183" t="s">
        <v>347</v>
      </c>
      <c r="W6" s="183"/>
      <c r="X6" s="144" t="str">
        <f>'Investimento Imobiliário'!C12</f>
        <v>Não</v>
      </c>
      <c r="Y6" s="175"/>
      <c r="Z6" s="175"/>
      <c r="AA6" s="186" t="s">
        <v>208</v>
      </c>
      <c r="AB6" s="194">
        <f>'Investimento Imobiliário'!C70</f>
        <v>0.82496007596357201</v>
      </c>
      <c r="AC6" s="175"/>
      <c r="AD6" s="194">
        <f>'Investimento Imobiliário'!D70</f>
        <v>4.5950334257063907E-2</v>
      </c>
      <c r="AE6" s="175"/>
      <c r="AF6" s="175"/>
      <c r="AG6" s="175"/>
      <c r="AH6" s="175"/>
      <c r="AI6" s="175"/>
    </row>
    <row r="7" spans="2:35" ht="16.8" thickBot="1" x14ac:dyDescent="0.45">
      <c r="B7" s="183" t="s">
        <v>321</v>
      </c>
      <c r="C7" s="554" t="s">
        <v>327</v>
      </c>
      <c r="D7" s="555"/>
      <c r="E7" s="556"/>
      <c r="F7" s="195"/>
      <c r="G7" s="184"/>
      <c r="H7" s="191"/>
      <c r="I7" s="181"/>
      <c r="J7" s="196"/>
      <c r="K7" s="196"/>
      <c r="L7" s="196"/>
      <c r="M7" s="196"/>
      <c r="N7" s="196"/>
      <c r="O7" s="542" t="str">
        <f>IF(P5&gt;T5,"▲ A liquidez é adequada para suportar um investimento.","▼ A liquidez é inferior ao ideal para realizar um investimento.")</f>
        <v>▼ A liquidez é inferior ao ideal para realizar um investimento.</v>
      </c>
      <c r="P7" s="542"/>
      <c r="Q7" s="542"/>
      <c r="R7" s="542"/>
      <c r="S7" s="542"/>
      <c r="T7" s="542"/>
      <c r="U7" s="197"/>
      <c r="V7" s="180"/>
      <c r="W7" s="180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</row>
    <row r="8" spans="2:35" ht="16.8" customHeight="1" thickBot="1" x14ac:dyDescent="0.45">
      <c r="B8" s="183"/>
      <c r="C8" s="175"/>
      <c r="D8" s="175"/>
      <c r="E8" s="175"/>
      <c r="F8" s="175"/>
      <c r="G8" s="195"/>
      <c r="H8" s="175"/>
      <c r="I8" s="198"/>
      <c r="J8" s="568" t="str">
        <f>Performance!F6</f>
        <v>▲ A empresa melhorou a capacidade de gerar resultados operacionais com o total dos ativos investidos.</v>
      </c>
      <c r="K8" s="568"/>
      <c r="L8" s="568"/>
      <c r="M8" s="568"/>
      <c r="N8" s="182"/>
      <c r="O8" s="180"/>
      <c r="P8" s="180"/>
      <c r="Q8" s="180"/>
      <c r="R8" s="180"/>
      <c r="S8" s="180"/>
      <c r="T8" s="180"/>
      <c r="U8" s="180"/>
      <c r="V8" s="183" t="s">
        <v>348</v>
      </c>
      <c r="W8" s="183"/>
      <c r="X8" s="144" t="str">
        <f>'Investimento Imobiliário'!C14</f>
        <v>Propriedade de investimento</v>
      </c>
      <c r="Y8" s="175"/>
      <c r="Z8" s="175"/>
      <c r="AA8" s="578" t="str">
        <f>'Investimento Imobiliário'!E70</f>
        <v xml:space="preserve">A liquidez desceu com o investimento. ⚠️ Atenção que a liquidez após o investimento está abaixo do nível recomendado para uma operação segura. </v>
      </c>
      <c r="AB8" s="578"/>
      <c r="AC8" s="578"/>
      <c r="AD8" s="578"/>
      <c r="AE8" s="199"/>
      <c r="AF8" s="175"/>
      <c r="AG8" s="175"/>
      <c r="AH8" s="175"/>
      <c r="AI8" s="175"/>
    </row>
    <row r="9" spans="2:35" ht="16.8" thickBot="1" x14ac:dyDescent="0.45">
      <c r="B9" s="183" t="s">
        <v>326</v>
      </c>
      <c r="C9" s="554"/>
      <c r="D9" s="555"/>
      <c r="E9" s="556"/>
      <c r="F9" s="195"/>
      <c r="G9" s="200" t="s">
        <v>191</v>
      </c>
      <c r="H9" s="201">
        <f>Performance!D6</f>
        <v>0.12898059727120234</v>
      </c>
      <c r="I9" s="198"/>
      <c r="J9" s="568"/>
      <c r="K9" s="568"/>
      <c r="L9" s="568"/>
      <c r="M9" s="568"/>
      <c r="N9" s="182"/>
      <c r="O9" s="180"/>
      <c r="P9" s="180"/>
      <c r="Q9" s="180"/>
      <c r="R9" s="180"/>
      <c r="S9" s="180"/>
      <c r="T9" s="180"/>
      <c r="U9" s="180"/>
      <c r="V9" s="190"/>
      <c r="W9" s="190"/>
      <c r="X9" s="175"/>
      <c r="Y9" s="175"/>
      <c r="Z9" s="175"/>
      <c r="AA9" s="578"/>
      <c r="AB9" s="578"/>
      <c r="AC9" s="578"/>
      <c r="AD9" s="578"/>
      <c r="AE9" s="199"/>
      <c r="AF9" s="175"/>
      <c r="AG9" s="175"/>
      <c r="AH9" s="175"/>
      <c r="AI9" s="175"/>
    </row>
    <row r="10" spans="2:35" ht="16.8" thickBot="1" x14ac:dyDescent="0.45">
      <c r="B10" s="183"/>
      <c r="C10" s="175"/>
      <c r="D10" s="175"/>
      <c r="E10" s="175"/>
      <c r="F10" s="175"/>
      <c r="G10" s="200"/>
      <c r="H10" s="202"/>
      <c r="I10" s="198"/>
      <c r="J10" s="568"/>
      <c r="K10" s="568"/>
      <c r="L10" s="568"/>
      <c r="M10" s="568"/>
      <c r="N10" s="182"/>
      <c r="O10" s="180"/>
      <c r="P10" s="180"/>
      <c r="Q10" s="180"/>
      <c r="R10" s="180"/>
      <c r="S10" s="180"/>
      <c r="T10" s="180"/>
      <c r="U10" s="180"/>
      <c r="V10" s="183" t="s">
        <v>202</v>
      </c>
      <c r="W10" s="183"/>
      <c r="X10" s="144" t="str">
        <f>IF('Investimento Imobiliário'!C13="Uso próprio (ex escritório)", 'Investimento Imobiliário'!I25,
 IF('Investimento Imobiliário'!C13="Revenda", 'Investimento Imobiliário'!C25,
 IF('Investimento Imobiliário'!C13="Arrendamento", 'Investimento Imobiliário'!F25,
 0)))</f>
        <v>Habitação</v>
      </c>
      <c r="Y10" s="175"/>
      <c r="Z10" s="175"/>
      <c r="AA10" s="578"/>
      <c r="AB10" s="578"/>
      <c r="AC10" s="578"/>
      <c r="AD10" s="578"/>
      <c r="AE10" s="199"/>
      <c r="AF10" s="175"/>
      <c r="AG10" s="175"/>
      <c r="AH10" s="175"/>
      <c r="AI10" s="175"/>
    </row>
    <row r="11" spans="2:35" ht="16.8" customHeight="1" thickBot="1" x14ac:dyDescent="0.45">
      <c r="B11" s="183" t="s">
        <v>324</v>
      </c>
      <c r="C11" s="144">
        <f ca="1">TODAY()</f>
        <v>45935</v>
      </c>
      <c r="D11" s="175"/>
      <c r="E11" s="175"/>
      <c r="F11" s="175"/>
      <c r="G11" s="200"/>
      <c r="H11" s="202"/>
      <c r="I11" s="198"/>
      <c r="J11" s="196"/>
      <c r="K11" s="196"/>
      <c r="L11" s="196"/>
      <c r="M11" s="196"/>
      <c r="N11" s="196"/>
      <c r="O11" s="186" t="s">
        <v>209</v>
      </c>
      <c r="P11" s="203">
        <f>'Investimento Imobiliário'!C5</f>
        <v>0.38536672346158418</v>
      </c>
      <c r="Q11" s="180"/>
      <c r="R11" s="204"/>
      <c r="S11" s="180" t="s">
        <v>214</v>
      </c>
      <c r="T11" s="205">
        <v>0.33</v>
      </c>
      <c r="U11" s="204"/>
      <c r="V11" s="180"/>
      <c r="W11" s="180"/>
      <c r="X11" s="175"/>
      <c r="Y11" s="175"/>
      <c r="Z11" s="175"/>
      <c r="AA11" s="199"/>
      <c r="AB11" s="199"/>
      <c r="AC11" s="199"/>
      <c r="AD11" s="199"/>
      <c r="AE11" s="199"/>
      <c r="AF11" s="175"/>
      <c r="AG11" s="175"/>
      <c r="AH11" s="175"/>
      <c r="AI11" s="175"/>
    </row>
    <row r="12" spans="2:35" ht="16.8" customHeight="1" thickBot="1" x14ac:dyDescent="0.45">
      <c r="B12" s="183"/>
      <c r="C12" s="175"/>
      <c r="D12" s="175"/>
      <c r="E12" s="175"/>
      <c r="F12" s="175"/>
      <c r="G12" s="195"/>
      <c r="H12" s="175"/>
      <c r="I12" s="175"/>
      <c r="J12" s="175"/>
      <c r="K12" s="175"/>
      <c r="L12" s="175"/>
      <c r="M12" s="175"/>
      <c r="N12" s="175"/>
      <c r="O12" s="192"/>
      <c r="P12" s="206"/>
      <c r="Q12" s="204"/>
      <c r="R12" s="204"/>
      <c r="S12" s="190"/>
      <c r="T12" s="190"/>
      <c r="U12" s="190"/>
      <c r="V12" s="183" t="s">
        <v>349</v>
      </c>
      <c r="W12" s="183"/>
      <c r="X12" s="155">
        <f>IF('Investimento Imobiliário'!C13="Uso próprio (ex escritório)", 'Investimento Imobiliário'!I26,
 IF('Investimento Imobiliário'!C13="Revenda", 'Investimento Imobiliário'!C26,
 IF('Investimento Imobiliário'!C13="Arrendamento", 'Investimento Imobiliário'!F26,
 0)))</f>
        <v>120000</v>
      </c>
      <c r="Y12" s="175"/>
      <c r="Z12" s="175"/>
      <c r="AA12" s="175"/>
      <c r="AB12" s="175" t="s">
        <v>364</v>
      </c>
      <c r="AC12" s="175"/>
      <c r="AD12" s="175" t="s">
        <v>365</v>
      </c>
      <c r="AE12" s="175"/>
      <c r="AF12" s="175"/>
      <c r="AG12" s="175"/>
      <c r="AH12" s="175"/>
      <c r="AI12" s="175"/>
    </row>
    <row r="13" spans="2:35" ht="16.2" customHeight="1" thickBot="1" x14ac:dyDescent="0.45">
      <c r="B13" s="183" t="s">
        <v>323</v>
      </c>
      <c r="C13" s="545"/>
      <c r="D13" s="546"/>
      <c r="E13" s="547"/>
      <c r="F13" s="195"/>
      <c r="G13" s="195"/>
      <c r="H13" s="175"/>
      <c r="I13" s="198"/>
      <c r="J13" s="568" t="str">
        <f>Performance!F8</f>
        <v>► Autonomia financeira razoável, mas atenção ao equilíbrio entre capitais próprios e alheios.</v>
      </c>
      <c r="K13" s="568"/>
      <c r="L13" s="568"/>
      <c r="M13" s="568"/>
      <c r="N13" s="182"/>
      <c r="O13" s="542" t="str">
        <f>IF(P11&gt;T11,"▲ A empresa tem boa autonomia e reduzida dependência externa.","▼ A autonomia é fraca e pode limitar acesso a financiamento.")</f>
        <v>▲ A empresa tem boa autonomia e reduzida dependência externa.</v>
      </c>
      <c r="P13" s="542"/>
      <c r="Q13" s="542"/>
      <c r="R13" s="542"/>
      <c r="S13" s="542"/>
      <c r="T13" s="542"/>
      <c r="U13" s="197"/>
      <c r="V13" s="190"/>
      <c r="W13" s="190"/>
      <c r="X13" s="175"/>
      <c r="Y13" s="175"/>
      <c r="Z13" s="175"/>
      <c r="AA13" s="186" t="s">
        <v>209</v>
      </c>
      <c r="AB13" s="194">
        <f>'Investimento Imobiliário'!C71</f>
        <v>0.38536672346158418</v>
      </c>
      <c r="AC13" s="175"/>
      <c r="AD13" s="194">
        <f>'Investimento Imobiliário'!D71</f>
        <v>0.33837797501532835</v>
      </c>
      <c r="AE13" s="175"/>
      <c r="AF13" s="175"/>
      <c r="AG13" s="175"/>
      <c r="AH13" s="175"/>
      <c r="AI13" s="175"/>
    </row>
    <row r="14" spans="2:35" ht="16.8" thickBot="1" x14ac:dyDescent="0.45">
      <c r="B14" s="183"/>
      <c r="C14" s="551"/>
      <c r="D14" s="552"/>
      <c r="E14" s="553"/>
      <c r="F14" s="195"/>
      <c r="G14" s="200" t="s">
        <v>209</v>
      </c>
      <c r="H14" s="201">
        <f>Performance!D8</f>
        <v>0.38536672346158418</v>
      </c>
      <c r="I14" s="198"/>
      <c r="J14" s="568"/>
      <c r="K14" s="568"/>
      <c r="L14" s="568"/>
      <c r="M14" s="568"/>
      <c r="N14" s="182"/>
      <c r="O14" s="180"/>
      <c r="P14" s="180"/>
      <c r="Q14" s="180"/>
      <c r="R14" s="180"/>
      <c r="S14" s="180"/>
      <c r="T14" s="180"/>
      <c r="U14" s="180"/>
      <c r="V14" s="183" t="s">
        <v>239</v>
      </c>
      <c r="W14" s="183"/>
      <c r="X14" s="156">
        <f>'Investimento Imobiliário'!F13</f>
        <v>70000</v>
      </c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</row>
    <row r="15" spans="2:35" ht="16.8" thickBot="1" x14ac:dyDescent="0.45">
      <c r="B15" s="183"/>
      <c r="C15" s="175"/>
      <c r="D15" s="175"/>
      <c r="E15" s="175"/>
      <c r="F15" s="175"/>
      <c r="G15" s="200"/>
      <c r="H15" s="202"/>
      <c r="I15" s="198"/>
      <c r="J15" s="568"/>
      <c r="K15" s="568"/>
      <c r="L15" s="568"/>
      <c r="M15" s="568"/>
      <c r="N15" s="182"/>
      <c r="O15" s="180"/>
      <c r="P15" s="180"/>
      <c r="Q15" s="180"/>
      <c r="R15" s="180"/>
      <c r="S15" s="180"/>
      <c r="T15" s="180"/>
      <c r="U15" s="180"/>
      <c r="V15" s="180"/>
      <c r="W15" s="180"/>
      <c r="X15" s="175"/>
      <c r="Y15" s="175"/>
      <c r="Z15" s="175"/>
      <c r="AA15" s="566" t="str">
        <f>'Investimento Imobiliário'!E71</f>
        <v>A empresa tornou-se mais dependente de terceiros (bancos), mas ainda está aceitável. Atenção ao aumento do peso da dívida.</v>
      </c>
      <c r="AB15" s="566"/>
      <c r="AC15" s="566"/>
      <c r="AD15" s="566"/>
      <c r="AE15" s="175"/>
      <c r="AF15" s="175"/>
      <c r="AG15" s="175"/>
      <c r="AH15" s="175"/>
      <c r="AI15" s="175"/>
    </row>
    <row r="16" spans="2:35" ht="16.2" customHeight="1" thickBot="1" x14ac:dyDescent="0.45">
      <c r="B16" s="183" t="s">
        <v>325</v>
      </c>
      <c r="C16" s="545"/>
      <c r="D16" s="546"/>
      <c r="E16" s="547"/>
      <c r="F16" s="195"/>
      <c r="G16" s="200"/>
      <c r="H16" s="202"/>
      <c r="I16" s="198"/>
      <c r="J16" s="196"/>
      <c r="K16" s="196"/>
      <c r="L16" s="196"/>
      <c r="M16" s="196"/>
      <c r="N16" s="196"/>
      <c r="O16" s="180"/>
      <c r="P16" s="208"/>
      <c r="Q16" s="180"/>
      <c r="R16" s="180"/>
      <c r="S16" s="180"/>
      <c r="T16" s="180"/>
      <c r="U16" s="180"/>
      <c r="V16" s="183" t="s">
        <v>350</v>
      </c>
      <c r="W16" s="183"/>
      <c r="X16" s="155">
        <f>IF('Investimento Imobiliário'!C13="Uso próprio (ex escritório)", 'Investimento Imobiliário'!I29,
 IF('Investimento Imobiliário'!C13="Revenda", 'Investimento Imobiliário'!C29,
 IF('Investimento Imobiliário'!C13="Arrendamento", 'Investimento Imobiliário'!F29,
 0)))</f>
        <v>135000</v>
      </c>
      <c r="Y16" s="175"/>
      <c r="Z16" s="175"/>
      <c r="AA16" s="566"/>
      <c r="AB16" s="566"/>
      <c r="AC16" s="566"/>
      <c r="AD16" s="566"/>
      <c r="AE16" s="175"/>
      <c r="AF16" s="175"/>
      <c r="AG16" s="175"/>
      <c r="AH16" s="175"/>
      <c r="AI16" s="175"/>
    </row>
    <row r="17" spans="2:35" ht="16.2" customHeight="1" thickBot="1" x14ac:dyDescent="0.45">
      <c r="B17" s="175"/>
      <c r="C17" s="548"/>
      <c r="D17" s="549"/>
      <c r="E17" s="550"/>
      <c r="F17" s="195"/>
      <c r="G17" s="569" t="s">
        <v>338</v>
      </c>
      <c r="H17" s="175"/>
      <c r="I17" s="209"/>
      <c r="J17" s="568" t="str">
        <f>Performance!F10</f>
        <v>▲ A empresa tem boa capacidade para suportar custos financeiros. Este indicador melhorou face ao último ano.</v>
      </c>
      <c r="K17" s="568"/>
      <c r="L17" s="568"/>
      <c r="M17" s="568"/>
      <c r="N17" s="210"/>
      <c r="O17" s="577" t="s">
        <v>210</v>
      </c>
      <c r="P17" s="203">
        <f>'Investimento Imobiliário'!C6</f>
        <v>0.21107740818809659</v>
      </c>
      <c r="Q17" s="180"/>
      <c r="R17" s="204"/>
      <c r="S17" s="180" t="s">
        <v>214</v>
      </c>
      <c r="T17" s="205">
        <v>0.05</v>
      </c>
      <c r="U17" s="204"/>
      <c r="V17" s="190"/>
      <c r="W17" s="190"/>
      <c r="X17" s="175"/>
      <c r="Y17" s="175"/>
      <c r="Z17" s="175"/>
      <c r="AA17" s="175"/>
      <c r="AB17" s="211"/>
      <c r="AC17" s="211"/>
      <c r="AD17" s="211"/>
      <c r="AE17" s="211"/>
      <c r="AF17" s="175"/>
      <c r="AG17" s="175"/>
      <c r="AH17" s="175"/>
      <c r="AI17" s="175"/>
    </row>
    <row r="18" spans="2:35" ht="16.8" thickBot="1" x14ac:dyDescent="0.45">
      <c r="B18" s="175"/>
      <c r="C18" s="551"/>
      <c r="D18" s="552"/>
      <c r="E18" s="553"/>
      <c r="F18" s="195"/>
      <c r="G18" s="569"/>
      <c r="H18" s="212">
        <f>Performance!D10</f>
        <v>4.6368708452041787</v>
      </c>
      <c r="I18" s="209"/>
      <c r="J18" s="568"/>
      <c r="K18" s="568"/>
      <c r="L18" s="568"/>
      <c r="M18" s="568"/>
      <c r="N18" s="210"/>
      <c r="O18" s="577"/>
      <c r="P18" s="206"/>
      <c r="Q18" s="204"/>
      <c r="R18" s="204"/>
      <c r="S18" s="190"/>
      <c r="T18" s="190"/>
      <c r="U18" s="190"/>
      <c r="V18" s="544" t="s">
        <v>358</v>
      </c>
      <c r="W18" s="213"/>
      <c r="X18" s="155">
        <f>IF('Investimento Imobiliário'!C13="Uso próprio (ex escritório)", 'Investimento Imobiliário'!J52,
 IF('Investimento Imobiliário'!C13="Revenda", 'Investimento Imobiliário'!C62,
 IF('Investimento Imobiliário'!C13="Arrendamento", 'Investimento Imobiliário'!F62,
 0)))</f>
        <v>24634</v>
      </c>
      <c r="Y18" s="175"/>
      <c r="Z18" s="175"/>
      <c r="AA18" s="175"/>
      <c r="AB18" s="175" t="s">
        <v>364</v>
      </c>
      <c r="AC18" s="175"/>
      <c r="AD18" s="175" t="s">
        <v>365</v>
      </c>
      <c r="AE18" s="211"/>
      <c r="AF18" s="175"/>
      <c r="AG18" s="175"/>
      <c r="AH18" s="175"/>
      <c r="AI18" s="175"/>
    </row>
    <row r="19" spans="2:35" ht="16.8" thickBot="1" x14ac:dyDescent="0.45">
      <c r="B19" s="175"/>
      <c r="C19" s="175"/>
      <c r="D19" s="175"/>
      <c r="E19" s="175"/>
      <c r="F19" s="175"/>
      <c r="G19" s="569"/>
      <c r="H19" s="214"/>
      <c r="I19" s="209"/>
      <c r="J19" s="568"/>
      <c r="K19" s="568"/>
      <c r="L19" s="568"/>
      <c r="M19" s="568"/>
      <c r="N19" s="210"/>
      <c r="O19" s="542" t="str">
        <f>IF(P17&gt;T17,"▲ A empresa está a rentabilizar bem o capital dos sócios.","▼ A rentabilidade está abaixo do esperado para novos investimentos.")</f>
        <v>▲ A empresa está a rentabilizar bem o capital dos sócios.</v>
      </c>
      <c r="P19" s="542"/>
      <c r="Q19" s="542"/>
      <c r="R19" s="542"/>
      <c r="S19" s="542"/>
      <c r="T19" s="542"/>
      <c r="U19" s="197"/>
      <c r="V19" s="544"/>
      <c r="W19" s="213"/>
      <c r="X19" s="175"/>
      <c r="Y19" s="175"/>
      <c r="Z19" s="175"/>
      <c r="AA19" s="215" t="s">
        <v>210</v>
      </c>
      <c r="AB19" s="194">
        <f>'Investimento Imobiliário'!C72</f>
        <v>0.21107740818809659</v>
      </c>
      <c r="AC19" s="175"/>
      <c r="AD19" s="194">
        <f>'Investimento Imobiliário'!D72</f>
        <v>0.22990031955517859</v>
      </c>
      <c r="AE19" s="211"/>
      <c r="AF19" s="175"/>
      <c r="AG19" s="175"/>
      <c r="AH19" s="175"/>
      <c r="AI19" s="175"/>
    </row>
    <row r="20" spans="2:35" ht="16.2" customHeight="1" thickBot="1" x14ac:dyDescent="0.45">
      <c r="B20" s="175"/>
      <c r="C20" s="175"/>
      <c r="D20" s="175"/>
      <c r="E20" s="175"/>
      <c r="F20" s="175"/>
      <c r="G20" s="200"/>
      <c r="H20" s="214"/>
      <c r="I20" s="209"/>
      <c r="J20" s="196"/>
      <c r="K20" s="196"/>
      <c r="L20" s="196"/>
      <c r="M20" s="196"/>
      <c r="N20" s="196"/>
      <c r="O20" s="180"/>
      <c r="P20" s="180"/>
      <c r="Q20" s="180"/>
      <c r="R20" s="180"/>
      <c r="S20" s="180"/>
      <c r="T20" s="180"/>
      <c r="U20" s="180"/>
      <c r="V20" s="183"/>
      <c r="W20" s="183"/>
      <c r="X20" s="175"/>
      <c r="Y20" s="175"/>
      <c r="Z20" s="175"/>
      <c r="AA20" s="211"/>
      <c r="AB20" s="211"/>
      <c r="AC20" s="211"/>
      <c r="AD20" s="211"/>
      <c r="AE20" s="211"/>
      <c r="AF20" s="175"/>
      <c r="AG20" s="175"/>
      <c r="AH20" s="175"/>
      <c r="AI20" s="175"/>
    </row>
    <row r="21" spans="2:35" ht="22.2" customHeight="1" thickBot="1" x14ac:dyDescent="0.55000000000000004">
      <c r="B21" s="543" t="s">
        <v>336</v>
      </c>
      <c r="C21" s="543"/>
      <c r="D21" s="543"/>
      <c r="E21" s="543"/>
      <c r="F21" s="176"/>
      <c r="G21" s="195"/>
      <c r="H21" s="175"/>
      <c r="I21" s="175"/>
      <c r="J21" s="175"/>
      <c r="K21" s="175"/>
      <c r="L21" s="175"/>
      <c r="M21" s="175"/>
      <c r="N21" s="175"/>
      <c r="O21" s="180"/>
      <c r="P21" s="180"/>
      <c r="Q21" s="180"/>
      <c r="R21" s="180"/>
      <c r="S21" s="180"/>
      <c r="T21" s="180"/>
      <c r="U21" s="180"/>
      <c r="V21" s="544" t="s">
        <v>359</v>
      </c>
      <c r="W21" s="213"/>
      <c r="X21" s="155">
        <f>IF('Investimento Imobiliário'!C13="Uso próprio (ex escritório)", 'Investimento Imobiliário'!J53,
 IF('Investimento Imobiliário'!C13="Revenda", 'Investimento Imobiliário'!C63,
 IF('Investimento Imobiliário'!C13="Arrendamento", 'Investimento Imobiliário'!F63,
 0)))</f>
        <v>27486.548507405947</v>
      </c>
      <c r="Y21" s="175"/>
      <c r="Z21" s="175"/>
      <c r="AA21" s="566" t="str">
        <f>'Investimento Imobiliário'!E72</f>
        <v>✅ O ROE subiu e está num bom nível. O investimento gerou rentabilidade sobre os capitais próprios.</v>
      </c>
      <c r="AB21" s="566"/>
      <c r="AC21" s="566"/>
      <c r="AD21" s="566"/>
      <c r="AE21" s="175"/>
      <c r="AF21" s="175"/>
      <c r="AG21" s="175"/>
      <c r="AH21" s="175"/>
      <c r="AI21" s="175"/>
    </row>
    <row r="22" spans="2:35" ht="16.8" customHeight="1" thickBot="1" x14ac:dyDescent="0.45">
      <c r="B22" s="175"/>
      <c r="C22" s="175"/>
      <c r="D22" s="175"/>
      <c r="E22" s="175"/>
      <c r="F22" s="175"/>
      <c r="G22" s="195"/>
      <c r="H22" s="175"/>
      <c r="I22" s="198"/>
      <c r="J22" s="568" t="str">
        <f>Performance!F12</f>
        <v>▼ Situação financeira crítica, com desequilíbrio elevado: fundo de maneio negativo e tesouraria deficitária. Risco iminente de incapacidade em cumprir compromissos financeiros.</v>
      </c>
      <c r="K22" s="568"/>
      <c r="L22" s="568"/>
      <c r="M22" s="568"/>
      <c r="N22" s="182"/>
      <c r="O22" s="180"/>
      <c r="P22" s="180"/>
      <c r="Q22" s="180"/>
      <c r="R22" s="180"/>
      <c r="S22" s="180"/>
      <c r="T22" s="180"/>
      <c r="U22" s="180"/>
      <c r="V22" s="544"/>
      <c r="W22" s="213"/>
      <c r="X22" s="175"/>
      <c r="Y22" s="175"/>
      <c r="Z22" s="175"/>
      <c r="AA22" s="566"/>
      <c r="AB22" s="566"/>
      <c r="AC22" s="566"/>
      <c r="AD22" s="566"/>
      <c r="AE22" s="175"/>
      <c r="AF22" s="175"/>
      <c r="AG22" s="175"/>
      <c r="AH22" s="175"/>
      <c r="AI22" s="175"/>
    </row>
    <row r="23" spans="2:35" ht="16.8" customHeight="1" thickBot="1" x14ac:dyDescent="0.45">
      <c r="B23" s="183" t="s">
        <v>328</v>
      </c>
      <c r="C23" s="216">
        <f>Balanço!G30</f>
        <v>302844</v>
      </c>
      <c r="D23" s="217"/>
      <c r="E23" s="217"/>
      <c r="F23" s="217"/>
      <c r="G23" s="200" t="s">
        <v>197</v>
      </c>
      <c r="H23" s="201" t="str">
        <f>Performance!D12</f>
        <v>Mau</v>
      </c>
      <c r="I23" s="198"/>
      <c r="J23" s="568"/>
      <c r="K23" s="568"/>
      <c r="L23" s="568"/>
      <c r="M23" s="568"/>
      <c r="N23" s="210"/>
      <c r="O23" s="577" t="s">
        <v>338</v>
      </c>
      <c r="P23" s="218">
        <f>'Investimento Imobiliário'!C7</f>
        <v>4.6368708452041787</v>
      </c>
      <c r="Q23" s="180"/>
      <c r="R23" s="219"/>
      <c r="S23" s="180" t="s">
        <v>214</v>
      </c>
      <c r="T23" s="220">
        <v>2</v>
      </c>
      <c r="U23" s="219"/>
      <c r="V23" s="180"/>
      <c r="W23" s="180"/>
      <c r="X23" s="175"/>
      <c r="Y23" s="175"/>
      <c r="Z23" s="175"/>
      <c r="AA23" s="211"/>
      <c r="AB23" s="211"/>
      <c r="AC23" s="211"/>
      <c r="AD23" s="211"/>
      <c r="AE23" s="175"/>
      <c r="AF23" s="175"/>
      <c r="AG23" s="175"/>
      <c r="AH23" s="175"/>
      <c r="AI23" s="175"/>
    </row>
    <row r="24" spans="2:35" ht="16.8" thickBot="1" x14ac:dyDescent="0.45">
      <c r="B24" s="175"/>
      <c r="C24" s="175"/>
      <c r="D24" s="175"/>
      <c r="E24" s="175"/>
      <c r="F24" s="175"/>
      <c r="G24" s="200"/>
      <c r="H24" s="202"/>
      <c r="I24" s="198"/>
      <c r="J24" s="568"/>
      <c r="K24" s="568"/>
      <c r="L24" s="568"/>
      <c r="M24" s="568"/>
      <c r="N24" s="210"/>
      <c r="O24" s="577"/>
      <c r="P24" s="180"/>
      <c r="Q24" s="180"/>
      <c r="R24" s="180"/>
      <c r="S24" s="180"/>
      <c r="T24" s="180"/>
      <c r="U24" s="180"/>
      <c r="V24" s="183" t="str">
        <f>IF('Investimento Imobiliário'!C13="Uso próprio (ex escritório)", "Prejuizo final pós compra",
 IF('Investimento Imobiliário'!C13="Revenda", "Lucro líquido",
 IF('Investimento Imobiliário'!C13="Arrendamento", "Cashflow líquido",
 0)))</f>
        <v>Cashflow líquido</v>
      </c>
      <c r="W24" s="183"/>
      <c r="X24" s="155">
        <f>IF('Investimento Imobiliário'!C13="Uso próprio (ex escritório)", 'Investimento Imobiliário'!J54,
 IF('Investimento Imobiliário'!C13="Revenda", 'Investimento Imobiliário'!C64,
 IF('Investimento Imobiliário'!C13="Arrendamento", 'Investimento Imobiliário'!F64,
 0)))</f>
        <v>2852.548507405947</v>
      </c>
      <c r="Y24" s="175"/>
      <c r="Z24" s="175"/>
      <c r="AA24" s="175"/>
      <c r="AB24" s="175" t="s">
        <v>364</v>
      </c>
      <c r="AC24" s="175"/>
      <c r="AD24" s="175" t="s">
        <v>365</v>
      </c>
      <c r="AE24" s="175"/>
      <c r="AF24" s="175"/>
      <c r="AG24" s="175"/>
      <c r="AH24" s="175"/>
      <c r="AI24" s="175"/>
    </row>
    <row r="25" spans="2:35" ht="16.8" customHeight="1" thickBot="1" x14ac:dyDescent="0.45">
      <c r="B25" s="183" t="s">
        <v>329</v>
      </c>
      <c r="C25" s="216">
        <f>Balanço!G68</f>
        <v>186138</v>
      </c>
      <c r="D25" s="217"/>
      <c r="E25" s="217"/>
      <c r="F25" s="217"/>
      <c r="G25" s="200"/>
      <c r="H25" s="202"/>
      <c r="I25" s="198"/>
      <c r="J25" s="196"/>
      <c r="K25" s="196"/>
      <c r="L25" s="196"/>
      <c r="M25" s="196"/>
      <c r="N25" s="196"/>
      <c r="O25" s="542" t="str">
        <f>IF(P23&gt;T23,"▲ A cobertura de juros é boa, há margem para financiar.","▼ A margem para suportar encargos financeiros é reduzida.")</f>
        <v>▲ A cobertura de juros é boa, há margem para financiar.</v>
      </c>
      <c r="P25" s="542"/>
      <c r="Q25" s="542"/>
      <c r="R25" s="542"/>
      <c r="S25" s="542"/>
      <c r="T25" s="542"/>
      <c r="U25" s="197"/>
      <c r="V25" s="180"/>
      <c r="W25" s="180"/>
      <c r="X25" s="175"/>
      <c r="Y25" s="175"/>
      <c r="Z25" s="175"/>
      <c r="AA25" s="215" t="s">
        <v>338</v>
      </c>
      <c r="AB25" s="221">
        <f>'Investimento Imobiliário'!C73</f>
        <v>4.6368708452041787</v>
      </c>
      <c r="AC25" s="175"/>
      <c r="AD25" s="221">
        <f>'Investimento Imobiliário'!D73</f>
        <v>3.8110734256446035</v>
      </c>
      <c r="AE25" s="211"/>
      <c r="AF25" s="175"/>
      <c r="AG25" s="175"/>
      <c r="AH25" s="175"/>
      <c r="AI25" s="175"/>
    </row>
    <row r="26" spans="2:35" ht="16.8" thickBot="1" x14ac:dyDescent="0.45">
      <c r="B26" s="175"/>
      <c r="C26" s="175"/>
      <c r="D26" s="175"/>
      <c r="E26" s="175"/>
      <c r="F26" s="175"/>
      <c r="G26" s="195"/>
      <c r="H26" s="175"/>
      <c r="I26" s="175"/>
      <c r="J26" s="175"/>
      <c r="K26" s="175"/>
      <c r="L26" s="175"/>
      <c r="M26" s="175"/>
      <c r="N26" s="175"/>
      <c r="O26" s="180"/>
      <c r="P26" s="180"/>
      <c r="Q26" s="180"/>
      <c r="R26" s="180"/>
      <c r="S26" s="180"/>
      <c r="T26" s="180"/>
      <c r="U26" s="180"/>
      <c r="V26" s="183" t="s">
        <v>357</v>
      </c>
      <c r="W26" s="183"/>
      <c r="X26" s="144">
        <f>IF('Investimento Imobiliário'!C13="Uso próprio (ex escritório)", "Não se aplica",
 IF('Investimento Imobiliário'!C13="Revenda", 'Investimento Imobiliário'!C66,
 IF('Investimento Imobiliário'!C13="Arrendamento", 'Investimento Imobiliário'!F66,
 0)))</f>
        <v>2.1129988943747756E-2</v>
      </c>
      <c r="Y26" s="175"/>
      <c r="Z26" s="175"/>
      <c r="AA26" s="175"/>
      <c r="AB26" s="175"/>
      <c r="AC26" s="175"/>
      <c r="AD26" s="175"/>
      <c r="AE26" s="211"/>
      <c r="AF26" s="175"/>
      <c r="AG26" s="175"/>
      <c r="AH26" s="175"/>
      <c r="AI26" s="175"/>
    </row>
    <row r="27" spans="2:35" ht="16.8" customHeight="1" thickBot="1" x14ac:dyDescent="0.45">
      <c r="B27" s="183" t="s">
        <v>330</v>
      </c>
      <c r="C27" s="216">
        <f>'Demonstração de Resultados'!G5</f>
        <v>418213</v>
      </c>
      <c r="D27" s="217"/>
      <c r="E27" s="217"/>
      <c r="F27" s="217"/>
      <c r="G27" s="195"/>
      <c r="H27" s="175"/>
      <c r="I27" s="198"/>
      <c r="J27" s="568" t="str">
        <f>Performance!F14</f>
        <v>▼ A empresa pode ter dificuldades em cumprir os compromissos de curto prazo. Indicador diminuiu face aos anos anteriores, piorando a situação financeira.</v>
      </c>
      <c r="K27" s="568"/>
      <c r="L27" s="568"/>
      <c r="M27" s="568"/>
      <c r="N27" s="182"/>
      <c r="O27" s="180"/>
      <c r="P27" s="180"/>
      <c r="Q27" s="180"/>
      <c r="R27" s="180"/>
      <c r="S27" s="180"/>
      <c r="T27" s="180"/>
      <c r="U27" s="180"/>
      <c r="V27" s="211"/>
      <c r="W27" s="211"/>
      <c r="X27" s="175"/>
      <c r="Y27" s="175"/>
      <c r="Z27" s="175"/>
      <c r="AA27" s="566" t="str">
        <f>'Investimento Imobiliário'!E73</f>
        <v>A capacidade de gerar rendimentos para garantir encargos financeiros (ex pagamento de juros) piorou, mas mantém-se dentro de limites aceitáveis.</v>
      </c>
      <c r="AB27" s="566"/>
      <c r="AC27" s="566"/>
      <c r="AD27" s="566"/>
      <c r="AE27" s="211"/>
      <c r="AF27" s="175"/>
      <c r="AG27" s="175"/>
      <c r="AH27" s="175"/>
      <c r="AI27" s="175"/>
    </row>
    <row r="28" spans="2:35" ht="16.8" customHeight="1" thickBot="1" x14ac:dyDescent="0.45">
      <c r="B28" s="175"/>
      <c r="C28" s="175"/>
      <c r="D28" s="175"/>
      <c r="E28" s="175"/>
      <c r="F28" s="175"/>
      <c r="G28" s="200" t="s">
        <v>340</v>
      </c>
      <c r="H28" s="201">
        <f>Performance!D14</f>
        <v>0.82496007596357201</v>
      </c>
      <c r="I28" s="198"/>
      <c r="J28" s="568"/>
      <c r="K28" s="568"/>
      <c r="L28" s="568"/>
      <c r="M28" s="568"/>
      <c r="N28" s="182"/>
      <c r="O28" s="180"/>
      <c r="P28" s="180"/>
      <c r="Q28" s="180"/>
      <c r="R28" s="180"/>
      <c r="S28" s="180"/>
      <c r="T28" s="180"/>
      <c r="U28" s="180"/>
      <c r="V28" s="544" t="s">
        <v>360</v>
      </c>
      <c r="W28" s="183"/>
      <c r="X28" s="155">
        <f>IF('Investimento Imobiliário'!C13="Uso próprio (ex escritório)", "Não se aplica",
 IF('Investimento Imobiliário'!C13="Revenda", 'Investimento Imobiliário'!C65,
 IF('Investimento Imobiliário'!C13="Arrendamento", 'Investimento Imobiliário'!F65,
 0)))</f>
        <v>695.13066046756103</v>
      </c>
      <c r="Y28" s="175"/>
      <c r="Z28" s="175"/>
      <c r="AA28" s="566"/>
      <c r="AB28" s="566"/>
      <c r="AC28" s="566"/>
      <c r="AD28" s="566"/>
      <c r="AE28" s="175"/>
      <c r="AF28" s="175"/>
      <c r="AG28" s="175"/>
      <c r="AH28" s="175"/>
      <c r="AI28" s="175"/>
    </row>
    <row r="29" spans="2:35" ht="16.8" thickBot="1" x14ac:dyDescent="0.45">
      <c r="B29" s="183" t="s">
        <v>331</v>
      </c>
      <c r="C29" s="216">
        <f>'Demonstração de Resultados'!G10</f>
        <v>237336</v>
      </c>
      <c r="D29" s="217"/>
      <c r="E29" s="217"/>
      <c r="F29" s="217"/>
      <c r="G29" s="200"/>
      <c r="H29" s="202"/>
      <c r="I29" s="198"/>
      <c r="J29" s="568"/>
      <c r="K29" s="568"/>
      <c r="L29" s="568"/>
      <c r="M29" s="568"/>
      <c r="N29" s="182"/>
      <c r="O29" s="186" t="s">
        <v>212</v>
      </c>
      <c r="P29" s="203">
        <f>'Investimento Imobiliário'!C8</f>
        <v>0.61463327653841582</v>
      </c>
      <c r="Q29" s="180"/>
      <c r="R29" s="222"/>
      <c r="S29" s="180" t="s">
        <v>214</v>
      </c>
      <c r="T29" s="223">
        <v>0.66</v>
      </c>
      <c r="U29" s="222"/>
      <c r="V29" s="544"/>
      <c r="W29" s="180"/>
      <c r="X29" s="175"/>
      <c r="Y29" s="175"/>
      <c r="Z29" s="175"/>
      <c r="AA29" s="211"/>
      <c r="AB29" s="211"/>
      <c r="AC29" s="211"/>
      <c r="AD29" s="211"/>
      <c r="AE29" s="175"/>
      <c r="AF29" s="175"/>
      <c r="AG29" s="175"/>
      <c r="AH29" s="175"/>
      <c r="AI29" s="175"/>
    </row>
    <row r="30" spans="2:35" ht="16.8" thickBot="1" x14ac:dyDescent="0.45">
      <c r="B30" s="175"/>
      <c r="C30" s="175"/>
      <c r="D30" s="175"/>
      <c r="E30" s="175"/>
      <c r="F30" s="175"/>
      <c r="G30" s="200"/>
      <c r="H30" s="202"/>
      <c r="I30" s="198"/>
      <c r="J30" s="196"/>
      <c r="K30" s="196"/>
      <c r="L30" s="196"/>
      <c r="M30" s="196"/>
      <c r="N30" s="196"/>
      <c r="O30" s="180"/>
      <c r="P30" s="180"/>
      <c r="Q30" s="180"/>
      <c r="R30" s="180"/>
      <c r="S30" s="180"/>
      <c r="T30" s="180"/>
      <c r="U30" s="180"/>
      <c r="V30" s="180"/>
      <c r="W30" s="180"/>
      <c r="X30" s="175"/>
      <c r="Y30" s="175"/>
      <c r="Z30" s="175"/>
      <c r="AA30" s="175"/>
      <c r="AB30" s="175" t="s">
        <v>364</v>
      </c>
      <c r="AC30" s="175"/>
      <c r="AD30" s="175" t="s">
        <v>365</v>
      </c>
      <c r="AE30" s="175"/>
      <c r="AF30" s="175"/>
      <c r="AG30" s="175"/>
      <c r="AH30" s="175"/>
      <c r="AI30" s="175"/>
    </row>
    <row r="31" spans="2:35" ht="16.8" customHeight="1" thickBot="1" x14ac:dyDescent="0.45">
      <c r="B31" s="183" t="s">
        <v>332</v>
      </c>
      <c r="C31" s="216">
        <f>'Demonstração de Resultados'!G21</f>
        <v>53703</v>
      </c>
      <c r="D31" s="217"/>
      <c r="E31" s="217"/>
      <c r="F31" s="217"/>
      <c r="G31" s="195"/>
      <c r="H31" s="175"/>
      <c r="I31" s="175"/>
      <c r="J31" s="175"/>
      <c r="K31" s="175"/>
      <c r="L31" s="175"/>
      <c r="M31" s="175"/>
      <c r="N31" s="175"/>
      <c r="O31" s="542" t="str">
        <f>IF(P29&lt;T29,"▲ O nível de endividamento está dentro dos limites saudáveis.","▼ O endividamento é elevado, o que aumenta o risco do investimento.")</f>
        <v>▲ O nível de endividamento está dentro dos limites saudáveis.</v>
      </c>
      <c r="P31" s="542"/>
      <c r="Q31" s="542"/>
      <c r="R31" s="542"/>
      <c r="S31" s="542"/>
      <c r="T31" s="542"/>
      <c r="U31" s="197"/>
      <c r="V31" s="180"/>
      <c r="W31" s="180"/>
      <c r="X31" s="175"/>
      <c r="Y31" s="175"/>
      <c r="Z31" s="175"/>
      <c r="AA31" s="186" t="s">
        <v>212</v>
      </c>
      <c r="AB31" s="194">
        <f>'Investimento Imobiliário'!C74</f>
        <v>0.61463327653841582</v>
      </c>
      <c r="AC31" s="175"/>
      <c r="AD31" s="194">
        <f>'Investimento Imobiliário'!D74</f>
        <v>0.73267453403724836</v>
      </c>
      <c r="AE31" s="175"/>
      <c r="AF31" s="175"/>
      <c r="AG31" s="175"/>
      <c r="AH31" s="175"/>
      <c r="AI31" s="175"/>
    </row>
    <row r="32" spans="2:35" ht="16.8" customHeight="1" thickBot="1" x14ac:dyDescent="0.45">
      <c r="B32" s="175"/>
      <c r="C32" s="175"/>
      <c r="D32" s="175"/>
      <c r="E32" s="175"/>
      <c r="F32" s="175"/>
      <c r="G32" s="195"/>
      <c r="H32" s="175"/>
      <c r="I32" s="198"/>
      <c r="J32" s="568" t="str">
        <f>Performance!F16</f>
        <v>▲ A empresa está mais eficiente em gerar vendas com o investimento total face aos anos anteriores.</v>
      </c>
      <c r="K32" s="568"/>
      <c r="L32" s="568"/>
      <c r="M32" s="568"/>
      <c r="N32" s="182"/>
      <c r="O32" s="180"/>
      <c r="P32" s="180"/>
      <c r="Q32" s="180"/>
      <c r="R32" s="180"/>
      <c r="S32" s="180"/>
      <c r="T32" s="180"/>
      <c r="U32" s="180"/>
      <c r="V32" s="544" t="s">
        <v>363</v>
      </c>
      <c r="W32" s="544"/>
      <c r="X32" s="544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</row>
    <row r="33" spans="2:35" ht="16.8" customHeight="1" thickBot="1" x14ac:dyDescent="0.45">
      <c r="B33" s="183" t="s">
        <v>333</v>
      </c>
      <c r="C33" s="216">
        <f>'Demonstração de Resultados'!G25</f>
        <v>39061</v>
      </c>
      <c r="D33" s="217"/>
      <c r="E33" s="217"/>
      <c r="F33" s="217"/>
      <c r="G33" s="200" t="s">
        <v>341</v>
      </c>
      <c r="H33" s="201">
        <f>Performance!D16</f>
        <v>1.380951909233797</v>
      </c>
      <c r="I33" s="198"/>
      <c r="J33" s="568"/>
      <c r="K33" s="568"/>
      <c r="L33" s="568"/>
      <c r="M33" s="568"/>
      <c r="N33" s="182"/>
      <c r="O33" s="192"/>
      <c r="P33" s="206"/>
      <c r="Q33" s="222"/>
      <c r="R33" s="222"/>
      <c r="S33" s="190"/>
      <c r="T33" s="190"/>
      <c r="U33" s="190"/>
      <c r="V33" s="180"/>
      <c r="W33" s="180"/>
      <c r="X33" s="175"/>
      <c r="Y33" s="175"/>
      <c r="Z33" s="175"/>
      <c r="AA33" s="566" t="str">
        <f>'Investimento Imobiliário'!E74</f>
        <v>⚠️ O endividamento (proporção da dívida face aos nossos ativos) aumentou e está num nível de risco. A empresa está demasiado alavancada.</v>
      </c>
      <c r="AB33" s="566"/>
      <c r="AC33" s="566"/>
      <c r="AD33" s="566"/>
      <c r="AE33" s="175"/>
      <c r="AF33" s="175"/>
      <c r="AG33" s="175"/>
      <c r="AH33" s="175"/>
      <c r="AI33" s="175"/>
    </row>
    <row r="34" spans="2:35" ht="16.8" customHeight="1" thickBot="1" x14ac:dyDescent="0.45">
      <c r="B34" s="175"/>
      <c r="C34" s="175"/>
      <c r="D34" s="175"/>
      <c r="E34" s="175"/>
      <c r="F34" s="175"/>
      <c r="G34" s="200"/>
      <c r="H34" s="202"/>
      <c r="I34" s="198"/>
      <c r="J34" s="568"/>
      <c r="K34" s="568"/>
      <c r="L34" s="568"/>
      <c r="M34" s="568"/>
      <c r="N34" s="182"/>
      <c r="O34" s="180"/>
      <c r="P34" s="180"/>
      <c r="Q34" s="180"/>
      <c r="R34" s="180"/>
      <c r="S34" s="180"/>
      <c r="T34" s="180"/>
      <c r="U34" s="180"/>
      <c r="V34" s="167"/>
      <c r="W34" s="168"/>
      <c r="X34" s="169"/>
      <c r="Y34" s="170"/>
      <c r="Z34" s="175"/>
      <c r="AA34" s="566"/>
      <c r="AB34" s="566"/>
      <c r="AC34" s="566"/>
      <c r="AD34" s="566"/>
      <c r="AE34" s="175"/>
      <c r="AF34" s="175"/>
      <c r="AG34" s="175"/>
      <c r="AH34" s="175"/>
      <c r="AI34" s="175"/>
    </row>
    <row r="35" spans="2:35" ht="16.8" customHeight="1" thickBot="1" x14ac:dyDescent="0.45">
      <c r="B35" s="183" t="s">
        <v>334</v>
      </c>
      <c r="C35" s="216">
        <f>'Demonstração de Resultados'!G29</f>
        <v>30637</v>
      </c>
      <c r="D35" s="217"/>
      <c r="E35" s="217"/>
      <c r="F35" s="217"/>
      <c r="G35" s="200"/>
      <c r="H35" s="202"/>
      <c r="I35" s="198"/>
      <c r="J35" s="196"/>
      <c r="K35" s="196"/>
      <c r="L35" s="196"/>
      <c r="M35" s="196"/>
      <c r="N35" s="196"/>
      <c r="O35" s="186" t="s">
        <v>215</v>
      </c>
      <c r="P35" s="570" t="str">
        <f>'Investimento Imobiliário'!C9</f>
        <v>⚠️ Boa estrutura e rentabilidade, mas sem liquidez. O investimento só deve avançar após reforço de tesouraria.</v>
      </c>
      <c r="Q35" s="570"/>
      <c r="R35" s="570"/>
      <c r="S35" s="570"/>
      <c r="T35" s="570"/>
      <c r="U35" s="224"/>
      <c r="V35" s="167"/>
      <c r="W35" s="168"/>
      <c r="X35" s="169"/>
      <c r="Y35" s="170"/>
      <c r="Z35" s="175"/>
      <c r="AA35" s="175"/>
      <c r="AB35" s="211"/>
      <c r="AC35" s="211"/>
      <c r="AD35" s="211"/>
      <c r="AE35" s="175"/>
      <c r="AF35" s="175"/>
      <c r="AG35" s="175"/>
      <c r="AH35" s="175"/>
      <c r="AI35" s="175"/>
    </row>
    <row r="36" spans="2:35" ht="16.8" customHeight="1" thickBot="1" x14ac:dyDescent="0.45">
      <c r="B36" s="175"/>
      <c r="C36" s="175"/>
      <c r="D36" s="175"/>
      <c r="E36" s="175"/>
      <c r="F36" s="175"/>
      <c r="G36" s="195"/>
      <c r="H36" s="175"/>
      <c r="I36" s="175"/>
      <c r="J36" s="175"/>
      <c r="K36" s="175"/>
      <c r="L36" s="175"/>
      <c r="M36" s="175"/>
      <c r="N36" s="175"/>
      <c r="O36" s="180"/>
      <c r="P36" s="570"/>
      <c r="Q36" s="570"/>
      <c r="R36" s="570"/>
      <c r="S36" s="570"/>
      <c r="T36" s="570"/>
      <c r="U36" s="224"/>
      <c r="V36" s="167"/>
      <c r="W36" s="168"/>
      <c r="X36" s="169"/>
      <c r="Y36" s="170"/>
      <c r="Z36" s="175"/>
      <c r="AA36" s="183" t="s">
        <v>215</v>
      </c>
      <c r="AB36" s="175"/>
      <c r="AC36" s="175"/>
      <c r="AD36" s="175"/>
      <c r="AE36" s="175"/>
      <c r="AF36" s="175"/>
      <c r="AG36" s="175"/>
      <c r="AH36" s="175"/>
      <c r="AI36" s="175"/>
    </row>
    <row r="37" spans="2:35" ht="16.8" customHeight="1" thickBot="1" x14ac:dyDescent="0.45">
      <c r="B37" s="183" t="s">
        <v>335</v>
      </c>
      <c r="C37" s="216">
        <f>'Demonstração de Resultados'!G30</f>
        <v>6003</v>
      </c>
      <c r="D37" s="217"/>
      <c r="E37" s="217"/>
      <c r="F37" s="217"/>
      <c r="G37" s="569" t="s">
        <v>342</v>
      </c>
      <c r="H37" s="175"/>
      <c r="I37" s="198"/>
      <c r="J37" s="568" t="str">
        <f>Performance!F18</f>
        <v>► O risco financeiro manteve-se estável.</v>
      </c>
      <c r="K37" s="568"/>
      <c r="L37" s="568"/>
      <c r="M37" s="568"/>
      <c r="N37" s="182"/>
      <c r="O37" s="180"/>
      <c r="P37" s="570"/>
      <c r="Q37" s="570"/>
      <c r="R37" s="570"/>
      <c r="S37" s="570"/>
      <c r="T37" s="570"/>
      <c r="U37" s="224"/>
      <c r="V37" s="167"/>
      <c r="W37" s="168"/>
      <c r="X37" s="169"/>
      <c r="Y37" s="170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</row>
    <row r="38" spans="2:35" ht="16.8" thickBot="1" x14ac:dyDescent="0.45">
      <c r="B38" s="175"/>
      <c r="C38" s="175"/>
      <c r="D38" s="175"/>
      <c r="E38" s="175"/>
      <c r="F38" s="175"/>
      <c r="G38" s="569"/>
      <c r="H38" s="201">
        <f>Performance!D18</f>
        <v>1.2749616476809087</v>
      </c>
      <c r="I38" s="198"/>
      <c r="J38" s="568"/>
      <c r="K38" s="568"/>
      <c r="L38" s="568"/>
      <c r="M38" s="568"/>
      <c r="N38" s="182"/>
      <c r="O38" s="180"/>
      <c r="P38" s="180"/>
      <c r="Q38" s="180"/>
      <c r="R38" s="180"/>
      <c r="S38" s="180"/>
      <c r="T38" s="180"/>
      <c r="U38" s="180"/>
      <c r="V38" s="171"/>
      <c r="W38" s="172"/>
      <c r="X38" s="173"/>
      <c r="Y38" s="174"/>
      <c r="Z38" s="225"/>
      <c r="AA38" s="571" t="str">
        <f>'Investimento Imobiliário'!C75</f>
        <v xml:space="preserve">❌ O investimento levanta preocupações relevantes: Liquidez insuficiente (LG). Endividamento excessivo (RE). </v>
      </c>
      <c r="AB38" s="572"/>
      <c r="AC38" s="572"/>
      <c r="AD38" s="573"/>
      <c r="AE38" s="175"/>
      <c r="AF38" s="175"/>
      <c r="AG38" s="175"/>
      <c r="AH38" s="175"/>
      <c r="AI38" s="175"/>
    </row>
    <row r="39" spans="2:35" ht="16.8" thickBot="1" x14ac:dyDescent="0.45">
      <c r="B39" s="183" t="s">
        <v>36</v>
      </c>
      <c r="C39" s="216">
        <f>'Demonstração de Resultados'!G31</f>
        <v>24634</v>
      </c>
      <c r="D39" s="217"/>
      <c r="E39" s="217"/>
      <c r="F39" s="217"/>
      <c r="G39" s="569"/>
      <c r="H39" s="202"/>
      <c r="I39" s="198"/>
      <c r="J39" s="568"/>
      <c r="K39" s="568"/>
      <c r="L39" s="568"/>
      <c r="M39" s="568"/>
      <c r="N39" s="182"/>
      <c r="O39" s="180"/>
      <c r="P39" s="180"/>
      <c r="Q39" s="180"/>
      <c r="R39" s="180"/>
      <c r="S39" s="180"/>
      <c r="T39" s="180"/>
      <c r="U39" s="180"/>
      <c r="V39" s="180"/>
      <c r="W39" s="180"/>
      <c r="X39" s="175"/>
      <c r="Y39" s="175"/>
      <c r="Z39" s="175"/>
      <c r="AA39" s="574"/>
      <c r="AB39" s="575"/>
      <c r="AC39" s="575"/>
      <c r="AD39" s="576"/>
      <c r="AE39" s="175"/>
      <c r="AF39" s="175"/>
      <c r="AG39" s="175"/>
      <c r="AH39" s="175"/>
      <c r="AI39" s="175"/>
    </row>
    <row r="40" spans="2:35" x14ac:dyDescent="0.4">
      <c r="B40" s="175"/>
      <c r="C40" s="175"/>
      <c r="D40" s="175"/>
      <c r="E40" s="175"/>
      <c r="F40" s="175"/>
      <c r="G40" s="228"/>
      <c r="H40" s="202"/>
      <c r="I40" s="198"/>
      <c r="J40" s="196"/>
      <c r="K40" s="196"/>
      <c r="L40" s="196"/>
      <c r="M40" s="196"/>
      <c r="N40" s="196"/>
      <c r="O40" s="186" t="s">
        <v>317</v>
      </c>
      <c r="P40" s="180"/>
      <c r="Q40" s="180"/>
      <c r="R40" s="180"/>
      <c r="S40" s="180"/>
      <c r="T40" s="180"/>
      <c r="U40" s="180"/>
      <c r="V40" s="180"/>
      <c r="W40" s="180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</row>
    <row r="41" spans="2:35" ht="16.8" thickBot="1" x14ac:dyDescent="0.45">
      <c r="B41" s="17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80"/>
      <c r="P41" s="180"/>
      <c r="Q41" s="180"/>
      <c r="R41" s="180"/>
      <c r="S41" s="180"/>
      <c r="T41" s="180"/>
      <c r="U41" s="180"/>
      <c r="V41" s="186" t="s">
        <v>317</v>
      </c>
      <c r="W41" s="180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</row>
    <row r="42" spans="2:35" ht="16.8" thickBot="1" x14ac:dyDescent="0.45">
      <c r="B42" s="186" t="s">
        <v>317</v>
      </c>
      <c r="C42" s="175"/>
      <c r="D42" s="175"/>
      <c r="E42" s="175"/>
      <c r="F42" s="175"/>
      <c r="G42" s="186" t="s">
        <v>317</v>
      </c>
      <c r="H42" s="175"/>
      <c r="I42" s="175"/>
      <c r="J42" s="175"/>
      <c r="K42" s="175"/>
      <c r="L42" s="175"/>
      <c r="M42" s="175"/>
      <c r="N42" s="175"/>
      <c r="O42" s="557"/>
      <c r="P42" s="558"/>
      <c r="Q42" s="558"/>
      <c r="R42" s="558"/>
      <c r="S42" s="558"/>
      <c r="T42" s="559"/>
      <c r="U42" s="207"/>
      <c r="V42" s="180"/>
      <c r="W42" s="180"/>
      <c r="X42" s="175"/>
      <c r="Y42" s="175"/>
      <c r="Z42" s="175"/>
      <c r="AA42" s="186" t="s">
        <v>317</v>
      </c>
      <c r="AB42" s="175"/>
      <c r="AC42" s="175"/>
      <c r="AD42" s="175"/>
      <c r="AE42" s="175"/>
      <c r="AF42" s="175"/>
      <c r="AG42" s="175"/>
      <c r="AH42" s="175"/>
      <c r="AI42" s="175"/>
    </row>
    <row r="43" spans="2:35" ht="16.8" thickBot="1" x14ac:dyDescent="0.45">
      <c r="B43" s="180"/>
      <c r="C43" s="175"/>
      <c r="D43" s="175"/>
      <c r="E43" s="175"/>
      <c r="F43" s="175"/>
      <c r="G43" s="180"/>
      <c r="H43" s="175"/>
      <c r="I43" s="175"/>
      <c r="J43" s="175"/>
      <c r="K43" s="175"/>
      <c r="L43" s="175"/>
      <c r="M43" s="175"/>
      <c r="N43" s="175"/>
      <c r="O43" s="560"/>
      <c r="P43" s="561"/>
      <c r="Q43" s="561"/>
      <c r="R43" s="561"/>
      <c r="S43" s="561"/>
      <c r="T43" s="562"/>
      <c r="U43" s="207"/>
      <c r="V43" s="557"/>
      <c r="W43" s="558"/>
      <c r="X43" s="558"/>
      <c r="Y43" s="559"/>
      <c r="Z43" s="207"/>
      <c r="AA43" s="180"/>
      <c r="AB43" s="175"/>
      <c r="AC43" s="175"/>
      <c r="AD43" s="175"/>
      <c r="AE43" s="175"/>
      <c r="AF43" s="175"/>
      <c r="AG43" s="175"/>
      <c r="AH43" s="175"/>
      <c r="AI43" s="175"/>
    </row>
    <row r="44" spans="2:35" ht="16.8" thickBot="1" x14ac:dyDescent="0.45">
      <c r="B44" s="557"/>
      <c r="C44" s="558"/>
      <c r="D44" s="558"/>
      <c r="E44" s="559"/>
      <c r="F44" s="226"/>
      <c r="G44" s="557"/>
      <c r="H44" s="558"/>
      <c r="I44" s="558"/>
      <c r="J44" s="558"/>
      <c r="K44" s="558"/>
      <c r="L44" s="558"/>
      <c r="M44" s="559"/>
      <c r="N44" s="207"/>
      <c r="O44" s="563"/>
      <c r="P44" s="564"/>
      <c r="Q44" s="564"/>
      <c r="R44" s="564"/>
      <c r="S44" s="564"/>
      <c r="T44" s="565"/>
      <c r="U44" s="207"/>
      <c r="V44" s="560"/>
      <c r="W44" s="561"/>
      <c r="X44" s="561"/>
      <c r="Y44" s="562"/>
      <c r="Z44" s="207"/>
      <c r="AA44" s="557"/>
      <c r="AB44" s="558"/>
      <c r="AC44" s="558"/>
      <c r="AD44" s="559"/>
      <c r="AE44" s="175"/>
      <c r="AF44" s="175"/>
      <c r="AG44" s="175"/>
      <c r="AH44" s="175"/>
      <c r="AI44" s="175"/>
    </row>
    <row r="45" spans="2:35" ht="16.8" thickBot="1" x14ac:dyDescent="0.45">
      <c r="B45" s="560"/>
      <c r="C45" s="561"/>
      <c r="D45" s="561"/>
      <c r="E45" s="562"/>
      <c r="F45" s="207"/>
      <c r="G45" s="560"/>
      <c r="H45" s="561"/>
      <c r="I45" s="561"/>
      <c r="J45" s="561"/>
      <c r="K45" s="561"/>
      <c r="L45" s="561"/>
      <c r="M45" s="562"/>
      <c r="N45" s="207"/>
      <c r="O45" s="180"/>
      <c r="P45" s="180"/>
      <c r="Q45" s="180"/>
      <c r="R45" s="180"/>
      <c r="S45" s="180"/>
      <c r="T45" s="180"/>
      <c r="U45" s="180"/>
      <c r="V45" s="563"/>
      <c r="W45" s="564"/>
      <c r="X45" s="564"/>
      <c r="Y45" s="565"/>
      <c r="Z45" s="207"/>
      <c r="AA45" s="560"/>
      <c r="AB45" s="561"/>
      <c r="AC45" s="561"/>
      <c r="AD45" s="562"/>
      <c r="AE45" s="175"/>
      <c r="AF45" s="175"/>
      <c r="AG45" s="175"/>
      <c r="AH45" s="175"/>
      <c r="AI45" s="175"/>
    </row>
    <row r="46" spans="2:35" ht="16.8" thickBot="1" x14ac:dyDescent="0.45">
      <c r="B46" s="563"/>
      <c r="C46" s="564"/>
      <c r="D46" s="564"/>
      <c r="E46" s="565"/>
      <c r="F46" s="227"/>
      <c r="G46" s="563"/>
      <c r="H46" s="564"/>
      <c r="I46" s="564"/>
      <c r="J46" s="564"/>
      <c r="K46" s="564"/>
      <c r="L46" s="564"/>
      <c r="M46" s="565"/>
      <c r="N46" s="207"/>
      <c r="O46" s="180"/>
      <c r="P46" s="180"/>
      <c r="Q46" s="180"/>
      <c r="R46" s="180"/>
      <c r="S46" s="180"/>
      <c r="T46" s="180"/>
      <c r="U46" s="180"/>
      <c r="V46" s="180"/>
      <c r="W46" s="180"/>
      <c r="X46" s="175"/>
      <c r="Y46" s="175"/>
      <c r="Z46" s="175"/>
      <c r="AA46" s="563"/>
      <c r="AB46" s="564"/>
      <c r="AC46" s="564"/>
      <c r="AD46" s="565"/>
      <c r="AE46" s="175"/>
      <c r="AF46" s="175"/>
      <c r="AG46" s="175"/>
      <c r="AH46" s="175"/>
      <c r="AI46" s="175"/>
    </row>
    <row r="47" spans="2:35" x14ac:dyDescent="0.4">
      <c r="B47" s="17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80"/>
      <c r="P47" s="180"/>
      <c r="Q47" s="180"/>
      <c r="R47" s="180"/>
      <c r="S47" s="180"/>
      <c r="T47" s="180"/>
      <c r="U47" s="180"/>
      <c r="V47" s="180"/>
      <c r="W47" s="180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</row>
    <row r="48" spans="2:35" x14ac:dyDescent="0.4">
      <c r="B48" s="17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80"/>
      <c r="P48" s="180"/>
      <c r="Q48" s="180"/>
      <c r="R48" s="180"/>
      <c r="S48" s="180"/>
      <c r="T48" s="180"/>
      <c r="U48" s="180"/>
      <c r="V48" s="180"/>
      <c r="W48" s="180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</row>
    <row r="49" spans="2:35" x14ac:dyDescent="0.4">
      <c r="B49" s="17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80"/>
      <c r="P49" s="180"/>
      <c r="Q49" s="180"/>
      <c r="R49" s="180"/>
      <c r="S49" s="180"/>
      <c r="T49" s="180"/>
      <c r="U49" s="180"/>
      <c r="V49" s="180"/>
      <c r="W49" s="180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</row>
    <row r="50" spans="2:35" x14ac:dyDescent="0.4">
      <c r="B50" s="17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80"/>
      <c r="P50" s="180"/>
      <c r="Q50" s="180"/>
      <c r="R50" s="180"/>
      <c r="S50" s="180"/>
      <c r="T50" s="180"/>
      <c r="U50" s="180"/>
      <c r="V50" s="180"/>
      <c r="W50" s="180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</row>
    <row r="51" spans="2:35" x14ac:dyDescent="0.4">
      <c r="B51" s="17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80"/>
      <c r="P51" s="180"/>
      <c r="Q51" s="180"/>
      <c r="R51" s="180"/>
      <c r="S51" s="180"/>
      <c r="T51" s="180"/>
      <c r="U51" s="180"/>
      <c r="V51" s="180"/>
      <c r="W51" s="180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</row>
    <row r="52" spans="2:35" x14ac:dyDescent="0.4">
      <c r="B52" s="17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80"/>
      <c r="P52" s="180"/>
      <c r="Q52" s="180"/>
      <c r="R52" s="180"/>
      <c r="S52" s="180"/>
      <c r="T52" s="180"/>
      <c r="U52" s="180"/>
      <c r="V52" s="180"/>
      <c r="W52" s="180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</row>
    <row r="53" spans="2:35" x14ac:dyDescent="0.4">
      <c r="B53" s="17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80"/>
      <c r="P53" s="180"/>
      <c r="Q53" s="180"/>
      <c r="R53" s="180"/>
      <c r="S53" s="180"/>
      <c r="T53" s="180"/>
      <c r="U53" s="180"/>
      <c r="V53" s="180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</row>
  </sheetData>
  <mergeCells count="43">
    <mergeCell ref="J8:M10"/>
    <mergeCell ref="AA33:AD34"/>
    <mergeCell ref="AA38:AD39"/>
    <mergeCell ref="AA44:AD46"/>
    <mergeCell ref="V43:Y45"/>
    <mergeCell ref="O42:T44"/>
    <mergeCell ref="O17:O18"/>
    <mergeCell ref="G44:M46"/>
    <mergeCell ref="J22:M24"/>
    <mergeCell ref="O23:O24"/>
    <mergeCell ref="O13:T13"/>
    <mergeCell ref="O19:T19"/>
    <mergeCell ref="J13:M15"/>
    <mergeCell ref="J17:M19"/>
    <mergeCell ref="G17:G19"/>
    <mergeCell ref="AA8:AD10"/>
    <mergeCell ref="B44:E46"/>
    <mergeCell ref="AA15:AD16"/>
    <mergeCell ref="AA2:AD3"/>
    <mergeCell ref="AA21:AD22"/>
    <mergeCell ref="AA27:AD28"/>
    <mergeCell ref="J37:M39"/>
    <mergeCell ref="G37:G39"/>
    <mergeCell ref="J27:M29"/>
    <mergeCell ref="O2:T2"/>
    <mergeCell ref="J32:M34"/>
    <mergeCell ref="O31:T31"/>
    <mergeCell ref="P35:T37"/>
    <mergeCell ref="G2:M2"/>
    <mergeCell ref="J4:M6"/>
    <mergeCell ref="O25:T25"/>
    <mergeCell ref="V32:X32"/>
    <mergeCell ref="C16:E18"/>
    <mergeCell ref="B21:E21"/>
    <mergeCell ref="B4:E4"/>
    <mergeCell ref="C7:E7"/>
    <mergeCell ref="C9:E9"/>
    <mergeCell ref="C13:E14"/>
    <mergeCell ref="O7:T7"/>
    <mergeCell ref="V2:Y2"/>
    <mergeCell ref="V18:V19"/>
    <mergeCell ref="V21:V22"/>
    <mergeCell ref="V28:V29"/>
  </mergeCells>
  <pageMargins left="0.78740157480314954" right="0.78740157480314954" top="0.78740157480314954" bottom="0.78740157480314954" header="0.3" footer="0.3"/>
  <pageSetup paperSize="9" scale="83" orientation="portrait" horizontalDpi="4294967293" r:id="rId1"/>
  <colBreaks count="2" manualBreakCount="2">
    <brk id="6" max="1048575" man="1"/>
    <brk id="14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escarregarRelatorio">
                <anchor moveWithCells="1" sizeWithCells="1">
                  <from>
                    <xdr:col>0</xdr:col>
                    <xdr:colOff>144780</xdr:colOff>
                    <xdr:row>2</xdr:row>
                    <xdr:rowOff>83820</xdr:rowOff>
                  </from>
                  <to>
                    <xdr:col>0</xdr:col>
                    <xdr:colOff>1790700</xdr:colOff>
                    <xdr:row>5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6</vt:i4>
      </vt:variant>
      <vt:variant>
        <vt:lpstr>Intervalos com Nome</vt:lpstr>
      </vt:variant>
      <vt:variant>
        <vt:i4>1</vt:i4>
      </vt:variant>
    </vt:vector>
  </HeadingPairs>
  <TitlesOfParts>
    <vt:vector size="7" baseType="lpstr">
      <vt:lpstr>Introdução</vt:lpstr>
      <vt:lpstr>Balanço</vt:lpstr>
      <vt:lpstr>Demonstração de Resultados</vt:lpstr>
      <vt:lpstr>Performance</vt:lpstr>
      <vt:lpstr>Investimento Imobiliário</vt:lpstr>
      <vt:lpstr>Relatório</vt:lpstr>
      <vt:lpstr>Relatório!Área_de_Impressão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Passos</dc:creator>
  <cp:lastModifiedBy>Manuel Passos</cp:lastModifiedBy>
  <cp:lastPrinted>2025-04-30T12:04:15Z</cp:lastPrinted>
  <dcterms:created xsi:type="dcterms:W3CDTF">2015-06-05T18:19:34Z</dcterms:created>
  <dcterms:modified xsi:type="dcterms:W3CDTF">2025-10-05T14:42:32Z</dcterms:modified>
</cp:coreProperties>
</file>